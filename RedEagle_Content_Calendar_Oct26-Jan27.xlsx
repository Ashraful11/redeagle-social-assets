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alendar" sheetId="2" state="visible" r:id="rId4"/>
    <sheet name="Carousel slides" sheetId="3" state="visible" r:id="rId5"/>
    <sheet name="Reel scenes" sheetId="4" state="visible" r:id="rId6"/>
    <sheet name="Image usage log" sheetId="5" state="visible" r:id="rId7"/>
    <sheet name="Festival coverage" sheetId="6" state="visible" r:id="rId8"/>
  </sheets>
  <definedNames>
    <definedName function="false" hidden="true" localSheetId="1" name="_xlnm._FilterDatabase" vbProcedure="false">Calendar!$A$1:$AA$201</definedName>
    <definedName function="false" hidden="true" localSheetId="2" name="_xlnm._FilterDatabase" vbProcedure="false">'Carousel slides'!$A$1:$I$415</definedName>
    <definedName function="false" hidden="true" localSheetId="4" name="_xlnm._FilterDatabase" vbProcedure="false">'Image usage log'!$A$1:$H$264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<sst xmlns="http://schemas.openxmlformats.org/spreadsheetml/2006/main" count="8762" uniqueCount="4274">
  <si>
    <t xml:space="preserve">Lumhe Instagram campaign: blog watercolour images</t>
  </si>
  <si>
    <t xml:space="preserve">200 posts, two per day, from 7 Oct 2026 to 14 Jan 2027. Every Indian and US/UK festival in the window has a post about 10 days before, a reminder 1-2 days before (same images, different copy) and a greeting on the day. All visuals are raw watercolour illustrations with no title text on them. Apart from the intentional festival reminder that reuses its first post's images, no image is used twice.</t>
  </si>
  <si>
    <t xml:space="preserve">By format</t>
  </si>
  <si>
    <t xml:space="preserve">Single</t>
  </si>
  <si>
    <t xml:space="preserve">Carousel</t>
  </si>
  <si>
    <t xml:space="preserve">Reel</t>
  </si>
  <si>
    <t xml:space="preserve">Total posts</t>
  </si>
  <si>
    <t xml:space="preserve">By market × format</t>
  </si>
  <si>
    <t xml:space="preserve">Total</t>
  </si>
  <si>
    <t xml:space="preserve">India</t>
  </si>
  <si>
    <t xml:space="preserve">USA</t>
  </si>
  <si>
    <t xml:space="preserve">UK</t>
  </si>
  <si>
    <t xml:space="preserve">Global</t>
  </si>
  <si>
    <t xml:space="preserve">Workflow status</t>
  </si>
  <si>
    <t xml:space="preserve">Ready</t>
  </si>
  <si>
    <t xml:space="preserve">Scheduled</t>
  </si>
  <si>
    <t xml:space="preserve">Posted</t>
  </si>
  <si>
    <t xml:space="preserve">On hold</t>
  </si>
  <si>
    <t xml:space="preserve">Images</t>
  </si>
  <si>
    <t xml:space="preserve">Watercolour images logged</t>
  </si>
  <si>
    <t xml:space="preserve">Used in at least one post</t>
  </si>
  <si>
    <t xml:space="preserve">Skipped as duplicate artwork</t>
  </si>
  <si>
    <t xml:space="preserve">How to use</t>
  </si>
  <si>
    <t xml:space="preserve">• Calendar tab: one row per post, with the caption, hashtags, first comment, alt text and file names. Change the Status column as you go (Ready, Scheduled, Posted, On hold).</t>
  </si>
  <si>
    <t xml:space="preserve">• Asset folder: every post has its own folder under Posts/, and the folders are numbered in posting order. Each folder holds the ready-to-upload JPG or MP4 files plus caption.txt.</t>
  </si>
  <si>
    <t xml:space="preserve">• Reels have no audio. Add a trending sound in Instagram using the "Audio suggestion" column. reel_cover.jpg is the suggested cover frame.</t>
  </si>
  <si>
    <t xml:space="preserve">• Post times: two slots a day, set by market. India 12:30 and 19:00 IST, US 19:30 and 21:30 IST (9:00 and 11:00 AM ET), UK 16:30 and 23:00 IST, Global 13:00 and 20:30 IST. Times assume one shared Instagram account.</t>
  </si>
  <si>
    <t xml:space="preserve">• Festival dates: see the Festival coverage tab. Please check Navratri, Dussehra, Karva Chauth, Dhanteras, Diwali, Chhath, Dev Uthani Ekadashi, Guru Nanak Jayanti, Lohri and Sankranti against your panchang, and Thanksgiving, Hanukkah and Bonfire Night against a calendar, before scheduling.</t>
  </si>
  <si>
    <t xml:space="preserve">• Lumhe facts in the copy come from the Lumhe feature pages: per-function RSVP, Moments, Digital Lifafa (India only, by UPI) and Upload Any Invite. No statistics or testimonials were invented.</t>
  </si>
  <si>
    <t xml:space="preserve">#</t>
  </si>
  <si>
    <t xml:space="preserve">Date</t>
  </si>
  <si>
    <t xml:space="preserve">Day</t>
  </si>
  <si>
    <t xml:space="preserve">Time (IST)</t>
  </si>
  <si>
    <t xml:space="preserve">Target local time</t>
  </si>
  <si>
    <t xml:space="preserve">Format</t>
  </si>
  <si>
    <t xml:space="preserve">Market</t>
  </si>
  <si>
    <t xml:space="preserve">Post ID</t>
  </si>
  <si>
    <t xml:space="preserve">Title</t>
  </si>
  <si>
    <t xml:space="preserve">On-image hook</t>
  </si>
  <si>
    <t xml:space="preserve">Caption</t>
  </si>
  <si>
    <t xml:space="preserve">Hashtags</t>
  </si>
  <si>
    <t xml:space="preserve">First comment</t>
  </si>
  <si>
    <t xml:space="preserve">Alt text</t>
  </si>
  <si>
    <t xml:space="preserve">CTA on visual</t>
  </si>
  <si>
    <t xml:space="preserve">Slides / length</t>
  </si>
  <si>
    <t xml:space="preserve">Audio suggestion</t>
  </si>
  <si>
    <t xml:space="preserve">Images used</t>
  </si>
  <si>
    <t xml:space="preserve">Source blog(s)</t>
  </si>
  <si>
    <t xml:space="preserve">Asset folder</t>
  </si>
  <si>
    <t xml:space="preserve">Files</t>
  </si>
  <si>
    <t xml:space="preserve">Status</t>
  </si>
  <si>
    <t xml:space="preserve">Posted link / notes</t>
  </si>
  <si>
    <t xml:space="preserve">Festival</t>
  </si>
  <si>
    <t xml:space="preserve">Festival date</t>
  </si>
  <si>
    <t xml:space="preserve">Role</t>
  </si>
  <si>
    <t xml:space="preserve">Linked post (same images)</t>
  </si>
  <si>
    <t xml:space="preserve">12:30</t>
  </si>
  <si>
    <t xml:space="preserve">IST</t>
  </si>
  <si>
    <t xml:space="preserve">E03</t>
  </si>
  <si>
    <t xml:space="preserve">Telugu shubhalekha closing line</t>
  </si>
  <si>
    <t xml:space="preserve">Sakutumba saparivaara sametamga vichchesi, vadhuvarulanu aashirvadinchandi.</t>
  </si>
  <si>
    <t xml:space="preserve">Turmeric on the corners, and one line elders always read twice.
A Telugu pelli patrika (శుభలేఖ) usually opens with Sri Ganeshaya Namah, names both families, gives the muhurtham, and closes by asking guests to come with family and bless the couple. That closing line is the heart of it.
Sending to cousins abroad too? Keep the Telugu line, then add a simple English one below it so everyone feels invited. 💛
Upload your shubhalekha to Lumhe and share one link for Pellikuthuru, the muhurtham and the reception. Link in bio.</t>
  </si>
  <si>
    <t xml:space="preserve">#Lumhe #TeluguWedding #Shubhalekha #PelliPatrika #TeluguPelli #TeluguWeddingCard #Muhurtham #HyderabadWeddings #VizagWeddings #SouthIndianWedding #WeddingCardIdeas #TeluguAmmayi</t>
  </si>
  <si>
    <t xml:space="preserve">Does your family still put pasupu and kumkum on the card corners? Tell us below.</t>
  </si>
  <si>
    <t xml:space="preserve">Watercolour of a turmeric-dabbed wedding card on a brass plate with yellow talambralu rice, mango leaves and marigolds. Text: the Telugu closing line 'Sakutumba saparivaara sametamga vichchesi, vadhuvarulanu aashirvadinchandi' with its English meaning.</t>
  </si>
  <si>
    <t xml:space="preserve">Upload your shubhalekha</t>
  </si>
  <si>
    <t xml:space="preserve">1 image · 4:5</t>
  </si>
  <si>
    <t xml:space="preserve">EV-E03_A</t>
  </si>
  <si>
    <t xml:space="preserve">New watercolour, blog topic: telugu</t>
  </si>
  <si>
    <t xml:space="preserve">Posts/001_2026-10-07_Single_E03_Telugu-shubhalekha-closing-line</t>
  </si>
  <si>
    <t xml:space="preserve">post.jpg</t>
  </si>
  <si>
    <t xml:space="preserve">Evergreen</t>
  </si>
  <si>
    <t xml:space="preserve">19:00</t>
  </si>
  <si>
    <t xml:space="preserve">F01</t>
  </si>
  <si>
    <t xml:space="preserve">Navratri hosting and invite guide</t>
  </si>
  <si>
    <t xml:space="preserve">Nine nights, one invite link</t>
  </si>
  <si>
    <t xml:space="preserve">Navratri starts Sunday. Your society Garba planning starts now. 💃
Ten days is enough time to do this without panic: send the invite, lock the dhol, count the dandiya sticks and know how many kanyas are coming for Ashtami.
Swipe for:
• Garba night invite wording you can copy
• A Kanya Pujan message for parents
• The host checklist to book this week
• A simple way to use the nine colours
Hosting more than one night? Create one Lumhe event and add each night as its own function. Guests RSVP only for the nights they can make, you get a live headcount, and the photos stay together in Moments instead of fifty WhatsApp chats.
Save this, then create your Navratri invite free. Link in bio.</t>
  </si>
  <si>
    <t xml:space="preserve">#Lumhe #Navratri2026 #SharadNavratri #Garba #DandiyaNight #GarbaNight #NavratriVibes #KanyaPujan #ChaniyaCholi #SocietyGarba #NavratriCelebration #FestiveSeason</t>
  </si>
  <si>
    <t xml:space="preserve">Team Garba or team Dandiya? Tell us how your society celebrates.</t>
  </si>
  <si>
    <t xml:space="preserve">Watercolour carousel: a couple in mirror-work outfits twirling with dandiya sticks beside a lamp-lit garbo pot and marigolds, and a close-up of a puja thali with a diya, coconut and dandiya sticks. Slides share Navratri invite wording and a host checklist.</t>
  </si>
  <si>
    <t xml:space="preserve">Create your invite free</t>
  </si>
  <si>
    <t xml:space="preserve">6 slides</t>
  </si>
  <si>
    <t xml:space="preserve">PAIR-NAV_A, PAIR-NAV_B</t>
  </si>
  <si>
    <t xml:space="preserve">New watercolour, blog topic: festival | New watercolour, blog topic: festival</t>
  </si>
  <si>
    <t xml:space="preserve">Posts/002_2026-10-07_Carousel_F01_Navratri-hosting-and-invite-guide</t>
  </si>
  <si>
    <t xml:space="preserve">slide_01.jpg, slide_02.jpg, slide_03.jpg, slide_04.jpg, slide_05.jpg, slide_06.jpg</t>
  </si>
  <si>
    <t xml:space="preserve">Sharad Navratri</t>
  </si>
  <si>
    <t xml:space="preserve">2026-10-11</t>
  </si>
  <si>
    <t xml:space="preserve">10 days before</t>
  </si>
  <si>
    <t xml:space="preserve">F02</t>
  </si>
  <si>
    <t xml:space="preserve">E01</t>
  </si>
  <si>
    <t xml:space="preserve">Bengali biyer card wording guide</t>
  </si>
  <si>
    <t xml:space="preserve">Bengali wording, from Prajapataye to Bou Bhaat</t>
  </si>
  <si>
    <t xml:space="preserve">Prajapati on the card, and a guest list longer than the menu.
A Bengali biyer card does a lot of work. It comes from the parents, names every ceremony from Ashirbaad to Bou Bhaat, and speaks to elders and friends in slightly different voices.
Swipe for:
• What to put at the very top
• A classic Bengali closing line, with meaning
• An English version from the bride's parents
• Why Bou Bhaat often needs its own invite
Tip: print one bilingual card for the family, then send the same card digitally to everyone who lives far away.
Save this for the evening Mama, Mashi and Baba sit down to finalise the card. Then upload it to Lumhe and share one link with a separate RSVP for each function. Link in bio.</t>
  </si>
  <si>
    <t xml:space="preserve">#Lumhe #BengaliWedding #BiyerCard #BengaliBride #BongWedding #ShubhoBibaho #BouBhaat #GayeHolud #KolkataWeddings #WeddingCardWording #BengaliCulture #WeddingInvitationIndia #DigitalWeddingCard</t>
  </si>
  <si>
    <t xml:space="preserve">Which ceremony is your favourite: Gaye Holud, Shubho Drishti or Bou Bhaat?</t>
  </si>
  <si>
    <t xml:space="preserve">Watercolour carousel: a Bengali bride in a red Banarasi and shola crown holding betel leaves before her face, and a red-and-white card with a butterfly motif beside conch-shell bangles and marigolds. Slides share Bengali and English invitation wording.</t>
  </si>
  <si>
    <t xml:space="preserve">Share your biyer card</t>
  </si>
  <si>
    <t xml:space="preserve">EV-E01_A, EV-E01_B</t>
  </si>
  <si>
    <t xml:space="preserve">New watercolour, blog topic: bengali-wedding-invitation | New watercolour, blog topic: bengali-wedding-invitation</t>
  </si>
  <si>
    <t xml:space="preserve">Posts/003_2026-10-08_Carousel_E01_Bengali-biyer-card-wording-guide</t>
  </si>
  <si>
    <t xml:space="preserve">20:30</t>
  </si>
  <si>
    <t xml:space="preserve">S35</t>
  </si>
  <si>
    <t xml:space="preserve">Poll: venue first or guest list</t>
  </si>
  <si>
    <t xml:space="preserve">Venue first, or guest list first?</t>
  </si>
  <si>
    <t xml:space="preserve">The great planning debate, settled by you.
Team Venue says: book the mandap or the arch you love, then build the list around its capacity.
Team Guest List says: know your numbers first, or you'll fall for a place that fits half your family.
Both work. Whichever you pick, the invitation comes next, and that's where Lumhe helps: one link for your invite, RSVPs and photos.
Comment V or G, and share this with whoever you're planning with.</t>
  </si>
  <si>
    <t xml:space="preserve">#Lumhe #WeddingPoll #WeddingVenue #GuestList #WeddingDebate #EngagedLife #WeddingPlanningJourney #Mandap #WeddingDecor #BrideAndGroomToBe #CelebrationPlanning</t>
  </si>
  <si>
    <t xml:space="preserve">Our vote: guest list first. Fight us gently in the replies.</t>
  </si>
  <si>
    <t xml:space="preserve">Watercolour of an empty mandap framed by a floral arch. Text asks 'Venue first, or guest list first?' and invites comments.</t>
  </si>
  <si>
    <t xml:space="preserve">Cast your vote</t>
  </si>
  <si>
    <t xml:space="preserve">US-21</t>
  </si>
  <si>
    <t xml:space="preserve">Wedding Invitation Templates</t>
  </si>
  <si>
    <t xml:space="preserve">Posts/004_2026-10-08_Single_S35_Poll-venue-first-or-guest-list</t>
  </si>
  <si>
    <t xml:space="preserve">Blog image</t>
  </si>
  <si>
    <t xml:space="preserve">E21</t>
  </si>
  <si>
    <t xml:space="preserve">NRI family plans a Pune wedding</t>
  </si>
  <si>
    <t xml:space="preserve">Shaadi in Pune. Family in Toronto.</t>
  </si>
  <si>
    <t xml:space="preserve">No hour is a good hour to call home before the shaadi.
If you're planning a wedding in Pune, Jaipur or Kochi from Toronto, Dubai or London, you know the drill: late-night calls, 6 a.m. voice notes, and three relatives each holding a different version of the guest list.
What actually helps:
• One standing family call a week, at an hour both sides can manage
• One guest list everyone works from, not five forwarded PDFs
• RSVPs collected per function, so you know who's coming to Haldi and who's only coming to the Reception
That's the job Lumhe does. Upload your card, add each function, and share one link on WhatsApp. Guests reply without an app or login, and you see live headcounts from wherever you are.
Send this to the cousin abroad who's secretly running the wedding. Create your event free, link in bio.</t>
  </si>
  <si>
    <t xml:space="preserve">#Lumhe #NRIWedding #NRIWeddingPlanning #DestinationWeddingIndia #IndianWeddingPlanning #DesiDiaspora #WeddingFromAbroad #PuneWedding #ShaadiPlanning #WeddingRSVP #DigitalWeddingInvitation #BrotherKiShaadi</t>
  </si>
  <si>
    <t xml:space="preserve">Abroad or at home: which side of the family time zone are you on?</t>
  </si>
  <si>
    <t xml:space="preserve">Watercolour reel: a woman with chai by a snowy night window beside a marigold-draped suitcase, and a mother hanging a marigold toran in a sunny Indian courtyard. Text tells how one link coordinates a wedding in India from abroad.</t>
  </si>
  <si>
    <t xml:space="preserve">Create your event</t>
  </si>
  <si>
    <t xml:space="preserve">15 s · 9:16</t>
  </si>
  <si>
    <t xml:space="preserve">Soft lo-fi beat with a gentle flute or sitar line that lifts into an upbeat dhol groove on the CTA.</t>
  </si>
  <si>
    <t xml:space="preserve">EV-E21_A, EV-E21_B</t>
  </si>
  <si>
    <t xml:space="preserve">New watercolour, blog topic: nri-wedding | New watercolour, blog topic: nri-wedding</t>
  </si>
  <si>
    <t xml:space="preserve">Posts/005_2026-10-09_Reel_E21_NRI-family-plans-a-Pune-wedding</t>
  </si>
  <si>
    <t xml:space="preserve">reel.mp4, reel_cover.jpg</t>
  </si>
  <si>
    <t xml:space="preserve">21:30</t>
  </si>
  <si>
    <t xml:space="preserve">19:30 IST = 9:00 AM ET · 21:30 IST = 11:00 AM ET</t>
  </si>
  <si>
    <t xml:space="preserve">E27</t>
  </si>
  <si>
    <t xml:space="preserve">Whose name goes first</t>
  </si>
  <si>
    <t xml:space="preserve">Whoever hosts decides whose name goes first</t>
  </si>
  <si>
    <t xml:space="preserve">Two names, one order, and somehow a whole family debate.
Here's the traditional rule: when the bride's parents host, the bride's name comes first. When the groom's family hosts, his name can lead. When you host together, or as two brides or two grooms, any order works, alphabetical included.
The real rule? Consistency. Same order on the invite, the envelope, the wedding website and the RSVP page.
On Lumhe, your names, invite and RSVP live on one link, so they always match. Save this for wording day.</t>
  </si>
  <si>
    <t xml:space="preserve">#Lumhe #WeddingEtiquette #WeddingInvitationWording #WeddingInvites #EngagedLife #BrideToBe #GroomToBe #WeddingPlanningTips #ModernWedding #WeddingStationery #DigitalInvitations</t>
  </si>
  <si>
    <t xml:space="preserve">Whose name went first on yours, and who won that argument?</t>
  </si>
  <si>
    <t xml:space="preserve">Watercolor of a calligrapher's desk with a blank ivory invitation, fountain pen, ink pot, eucalyptus and marigold petals. Text reads 'Whoever hosts decides whose name goes first' with a short etiquette rule.</t>
  </si>
  <si>
    <t xml:space="preserve">Word your invite</t>
  </si>
  <si>
    <t xml:space="preserve">EV-E27_A</t>
  </si>
  <si>
    <t xml:space="preserve">New watercolour, blog topic: whose-name-first</t>
  </si>
  <si>
    <t xml:space="preserve">Posts/006_2026-10-09_Single_E27_Whose-name-goes-first</t>
  </si>
  <si>
    <t xml:space="preserve">Navratri eve invite reminder reel</t>
  </si>
  <si>
    <t xml:space="preserve">Garba starts tomorrow. Invite sent?</t>
  </si>
  <si>
    <t xml:space="preserve">Kalash tomorrow, Garba tomorrow night, guest list still a vibe. 😅
If you're hosting a Garba night, a society Dandiya or Kanya Pujan this Navratri, tonight is the night to send the invite. Not a blurry forward that sinks under good-morning messages, but one link with the date, time, venue and the colour of the day.
On Lumhe, add each night as a function. Guests tap, RSVP for the nights they're coming, and you see the headcount live, so you know exactly how many dandiya sticks and how much nimbu-paani you need.
Afterwards, everyone's videos go into one Moments album, in full quality.
Share this with the friend hosting this year. Make your invite free, link in bio.</t>
  </si>
  <si>
    <t xml:space="preserve">#Lumhe #NavratriTomorrow #Garba2026 #DandiyaRaas #NavratriReels #GarbaLovers #Navratri #GujaratiGarba #NavratriPreparations #FestiveReels #DigitalInvite</t>
  </si>
  <si>
    <t xml:space="preserve">Which colour are you wearing on day one? Drop it below.</t>
  </si>
  <si>
    <t xml:space="preserve">Watercolour reel: a couple mid-Garba with dandiya sticks beside a glowing garbo pot, and a puja thali with a diya, chunri-wrapped coconut and dandiya sticks. Text urges hosts to send their Navratri invite tonight.</t>
  </si>
  <si>
    <t xml:space="preserve">Make your invite</t>
  </si>
  <si>
    <t xml:space="preserve">Upbeat dhol-and-dandiya folk fusion with a fast build, clapping on every scene change.</t>
  </si>
  <si>
    <t xml:space="preserve">Posts/007_2026-10-10_Reel_F02_Navratri-eve-invite-reminder-reel</t>
  </si>
  <si>
    <t xml:space="preserve">Reminder (1-2 days)</t>
  </si>
  <si>
    <t xml:space="preserve">F04</t>
  </si>
  <si>
    <t xml:space="preserve">Dussehra get-together planning guide</t>
  </si>
  <si>
    <t xml:space="preserve">Ravan Dahan plans, sorted before the arrows fly</t>
  </si>
  <si>
    <t xml:space="preserve">The jalebi queue is already forming in our heads. 🏹
Dussehra is the day the whole family wants to be together: lunch at home, an evening at the Ramlila ground, and the cheer when the Ravan effigy goes up in flames. It all goes better when everyone knows the plan.
Swipe for:
• Invite wording for a family Dussehra lunch
• What to tell guests for a colony Ravan Dahan
• The shami leaf 'sona' line for Marathi homes
• A host checklist to book now
Put the whole day in one Lumhe link, with an RSVP for each part, and keep every effigy-burning video in one Moments album instead of ten family chats.
Save this for your planning group. Create your invite free, link in bio.</t>
  </si>
  <si>
    <t xml:space="preserve">#Lumhe #Dussehra2026 #Vijayadashami #RavanDahan #Ramlila #DussehraCelebration #ShamiPuja #JalebiFafda #FestiveSeasonIndia #GoodOverEvil #DussehraVibes #FamilyGetTogether</t>
  </si>
  <si>
    <t xml:space="preserve">Ramlila ground or home lunch: where does your family spend Dussehra?</t>
  </si>
  <si>
    <t xml:space="preserve">Watercolour carousel: a family watching a tall Ravan effigy at dusk, and a brass plate of shami leaves with a small bow and arrow and jalebis. Slides share Dussehra invite wording and a host checklist.</t>
  </si>
  <si>
    <t xml:space="preserve">Plan your Dussehra</t>
  </si>
  <si>
    <t xml:space="preserve">PAIR-DUS_A, PAIR-DUS_B</t>
  </si>
  <si>
    <t xml:space="preserve">Posts/008_2026-10-10_Carousel_F04_Dussehra-get-together-planning-guide</t>
  </si>
  <si>
    <t xml:space="preserve">Dussehra</t>
  </si>
  <si>
    <t xml:space="preserve">2026-10-20</t>
  </si>
  <si>
    <t xml:space="preserve">F05</t>
  </si>
  <si>
    <t xml:space="preserve">F03</t>
  </si>
  <si>
    <t xml:space="preserve">Navratri day one greeting</t>
  </si>
  <si>
    <t xml:space="preserve">Nine nights of shakti, devotion and dancing feet</t>
  </si>
  <si>
    <t xml:space="preserve">Jai Mata Di! 🌼
Today the kalash is placed, the diya is lit and nine nights of Garba, fasting and family begin. May Maa Durga fill your home with strength, peace and plenty, and may your feet never tire before the last round of Garba.
Shubh Navratri from all of us at Lumhe.
Hosting Kanya Pujan or a Garba night this week? Your invite is ready in minutes at lumhe.com.</t>
  </si>
  <si>
    <t xml:space="preserve">#Lumhe #ShubhNavratri #HappyNavratri #JaiMataDi #NavratriWishes #Ghatasthapana #MaaDurga #NavratriGreetings #NavratriDay1 #Shakti #FestivalsOfIndia</t>
  </si>
  <si>
    <t xml:space="preserve">Which day of Navratri do you look forward to most? Tell us why.</t>
  </si>
  <si>
    <t xml:space="preserve">Watercolour of a red chunri-draped kalash with mango leaves and a coconut, a pot of sprouting barley, a glowing diya and marigold garlands. Text reads 'Shubh Navratri: Nine nights of shakti, devotion and dancing feet.'</t>
  </si>
  <si>
    <t xml:space="preserve">Send the wish</t>
  </si>
  <si>
    <t xml:space="preserve">DAY-NAV_A</t>
  </si>
  <si>
    <t xml:space="preserve">New watercolour, blog topic: festival</t>
  </si>
  <si>
    <t xml:space="preserve">Posts/009_2026-10-11_Single_F03_Navratri-day-one-greeting</t>
  </si>
  <si>
    <t xml:space="preserve">On the day</t>
  </si>
  <si>
    <t xml:space="preserve">E28</t>
  </si>
  <si>
    <t xml:space="preserve">Destination wedding invite timing and details</t>
  </si>
  <si>
    <t xml:space="preserve">Your invite is also a travel brief</t>
  </si>
  <si>
    <t xml:space="preserve">Your guests aren't just saving a Saturday. They're booking flights.
A destination wedding invitation has two jobs: make people feel wanted, and give them everything they need to plan a trip. Miss the second part and your inbox fills with "Which airport?" and "Is there a room block?"
Swipe for:
• When to send the save-the-date and invitation
• Wording that's warm without sounding like a travel ad
• The details guests need before they book
• A gentle way to be clear about costs
Tip: give travel dates, not just the ceremony date, so guests can plan the whole trip.
Save this for your planning folder. Then put the invite, travel details and RSVP on one Lumhe link. Create yours free at lumhe.com.</t>
  </si>
  <si>
    <t xml:space="preserve">#Lumhe #DestinationWedding #DestinationWeddingInvitations #BeachWedding #WeddingAbroad #WeddingTimeline #SaveTheDate #WeddingPlanning2027 #TravelWedding #WeddingGuestTips #EngagedAndPlanning #WeddingRSVP</t>
  </si>
  <si>
    <t xml:space="preserve">Beach, mountains or a European old town: where would your dream destination wedding be?</t>
  </si>
  <si>
    <t xml:space="preserve">Watercolor carousel: a couple walking barefoot toward a flower-draped beach arch at golden hour, and a close-up of a passport, map, straw hat, shells and a wax-sealed envelope. Slides cover destination wedding invitation timing, wording and details.</t>
  </si>
  <si>
    <t xml:space="preserve">Send your invite</t>
  </si>
  <si>
    <t xml:space="preserve">EV-E28_A, EV-E28_B</t>
  </si>
  <si>
    <t xml:space="preserve">New watercolour, blog topic: destination-wedding | New watercolour, blog topic: destination-wedding</t>
  </si>
  <si>
    <t xml:space="preserve">Posts/010_2026-10-11_Carousel_E28_Destination-wedding-invite-timing-and-de</t>
  </si>
  <si>
    <t xml:space="preserve">16:30</t>
  </si>
  <si>
    <t xml:space="preserve">16:30 IST = 11:00 AM UK · 23:00 IST = 5:30 PM UK</t>
  </si>
  <si>
    <t xml:space="preserve">E45</t>
  </si>
  <si>
    <t xml:space="preserve">Gender reveal invite: keep the secret</t>
  </si>
  <si>
    <t xml:space="preserve">Only the baker knows. Say so on the invite.</t>
  </si>
  <si>
    <t xml:space="preserve">The secret is the whole party, so guard it on the invite.
Tell guests who's in on it (usually just the baker or one trusted friend) and roughly when the big moment happens, so nobody nips out to feed the meter and misses it.
Then cover the basics: date, time, venue with full address, parking, dress code and an RSVP date. A colour theme is half the fun: ask guests to wear pink or blue to cast their vote.
On Lumhe, upload your invite, share one link in the family WhatsApp and watch the headcount build. No app, no login.
Save this for your reveal, and make your invite free at lumhe.com.</t>
  </si>
  <si>
    <t xml:space="preserve">#Lumhe #GenderReveal #GenderRevealParty #BabyOnTheWay #UKMums #PregnancyUK #BabyShowerUK #PartyInvitations #DigitalInvitations #TeamPinkOrBlue #RevealParty #NewParentsUK</t>
  </si>
  <si>
    <t xml:space="preserve">Team pink, team blue or team 'just tell us already'?</t>
  </si>
  <si>
    <t xml:space="preserve">Watercolour of an English garden party table with a tall white cake, pink and blue balloons and marigolds. Text reads: Only the baker knows. Say so on the invite.</t>
  </si>
  <si>
    <t xml:space="preserve">EV-E45_A</t>
  </si>
  <si>
    <t xml:space="preserve">New watercolour, blog topic: gender-reveal</t>
  </si>
  <si>
    <t xml:space="preserve">Posts/011_2026-10-12_Single_E45_Gender-reveal-invite-keep-the-secret</t>
  </si>
  <si>
    <t xml:space="preserve">E57</t>
  </si>
  <si>
    <t xml:space="preserve">Moments: the photos on guests' phones</t>
  </si>
  <si>
    <t xml:space="preserve">The best photos are on their phones</t>
  </si>
  <si>
    <t xml:space="preserve">Your photographer got the portraits. Your guests got everything else.
The cousin who caught the cake wobble. The friend who filmed the speeches. The 2 a.m. dance-floor blur that somehow sums up the whole night.
Those photos usually stay stuck on a dozen different phones, or get squashed in a chat until nobody can find them.
Moments collects them in one shared album: guests open your Lumhe link, tap upload and add their shots, no app and no login. It doesn't vanish after 24 hours and it isn't compressed.
Start your album free at lumhe.com (link in bio).</t>
  </si>
  <si>
    <t xml:space="preserve">#Lumhe #EventPhotos #PhotoSharing #WeddingPhotos #GuestPhotos #PartyMemories #CelebrationPlatform #SharedAlbum #CandidMoments #WeddingGuests #PhotoAlbum</t>
  </si>
  <si>
    <t xml:space="preserve">Whose camera roll has the best photos from your last party?</t>
  </si>
  <si>
    <t xml:space="preserve">Watercolor of a reception table after the party, scattered with cameras, loose snapshots and marigolds under fairy lights. Text reads: The best photos are on their phones.</t>
  </si>
  <si>
    <t xml:space="preserve">Start your album</t>
  </si>
  <si>
    <t xml:space="preserve">EV-E57_A</t>
  </si>
  <si>
    <t xml:space="preserve">New watercolour, blog topic: share-event-photos</t>
  </si>
  <si>
    <t xml:space="preserve">Posts/012_2026-10-12_Single_E57_Moments-the-photos-on-guests-phones</t>
  </si>
  <si>
    <t xml:space="preserve">E04</t>
  </si>
  <si>
    <t xml:space="preserve">Kannada lagna patrike structure tip</t>
  </si>
  <si>
    <t xml:space="preserve">Four parts every lagna patrike needs</t>
  </si>
  <si>
    <t xml:space="preserve">Tambula on the plate, patrike in hand, and Ajji checking the order.
A Kannada lagna patrike follows a set sequence: an invocation at the top, both families' names, the muhurta with date and venue, and a closing request. A line many families use:
"Taavu sakutumba sametaraagi aagamisi vadhuvararannu aashirvadisabekaagi vinanti."
(We request you to come with your family and bless the couple.)
Inviting friends who don't read Kannada? Add one English line under each section. Then upload the card to Lumhe and share a single link on WhatsApp. Link in bio.</t>
  </si>
  <si>
    <t xml:space="preserve">#Lumhe #KannadaWedding #LagnaPatrike #MaduveInvitation #KannadaMaduve #BengaluruWeddings #MysuruWeddings #KarnatakaWedding #VivahaNimantrana #WeddingCardTips #SouthIndianBride #KannadaCulture</t>
  </si>
  <si>
    <t xml:space="preserve">Do you still hand-deliver the patrike with tambula, or is WhatsApp fine now?</t>
  </si>
  <si>
    <t xml:space="preserve">Watercolour of a wedding card on a silver plate with betel leaves, areca nuts, a coconut and kumkum, framed by banana stems and a mango-leaf toran with marigolds. Text: 'Four parts every lagna patrike needs'.</t>
  </si>
  <si>
    <t xml:space="preserve">Upload your patrike</t>
  </si>
  <si>
    <t xml:space="preserve">EV-E04_A</t>
  </si>
  <si>
    <t xml:space="preserve">New watercolour, blog topic: kannada</t>
  </si>
  <si>
    <t xml:space="preserve">Posts/013_2026-10-13_Single_E04_Kannada-lagna-patrike-structure-tip</t>
  </si>
  <si>
    <t xml:space="preserve">23:00</t>
  </si>
  <si>
    <t xml:space="preserve">E44</t>
  </si>
  <si>
    <t xml:space="preserve">Hen party invitations: wording and plan</t>
  </si>
  <si>
    <t xml:space="preserve">From Prosecco brunch to a Brighton weekend</t>
  </si>
  <si>
    <t xml:space="preserve">Maid of honour duty, day one: the invitation.
Get it right and the rest of the hen do plans itself. Get it wrong and you'll spend six weeks answering 'wait, which weekend?' in the group chat.
Swipe for two wording styles (classy and cheeky), the four things every hen needs before saying yes, and why a weekend away needs at least two months' notice.
Our favourite tip: be upfront about the rough cost per head and the deposit date. Nobody likes a surprise bill, and clear numbers mean faster replies.
With Lumhe, upload the invite you designed, share one link with the hens and see exactly who's confirmed. After the weekend, everyone drops their photos into one Moments album instead of forty separate chats.
Save this for when you're chief hen, tag your maid of honour, and start free at lumhe.com.</t>
  </si>
  <si>
    <t xml:space="preserve">#Lumhe #HenParty #HenDo #HenWeekend #BrideTribe #MaidOfHonour #HenPartyIdeas #UKBride #BrideToBe2027 #HenDoInvites #WeddingPlanningUK #Bridesmaids</t>
  </si>
  <si>
    <t xml:space="preserve">Spa day, city weekend or a countryside cottage: what's your dream hen?</t>
  </si>
  <si>
    <t xml:space="preserve">Watercolour carousel: friends clinking Prosecco glasses at a brunch table with flower crowns and marigolds, and a packed weekend bag. Cover text reads: From Prosecco brunch to a Brighton weekend.</t>
  </si>
  <si>
    <t xml:space="preserve">Send your hen invite</t>
  </si>
  <si>
    <t xml:space="preserve">EV-E44_A, EV-E44_B</t>
  </si>
  <si>
    <t xml:space="preserve">New watercolour, blog topic: hen-party | New watercolour, blog topic: hen-party</t>
  </si>
  <si>
    <t xml:space="preserve">Posts/014_2026-10-13_Carousel_E44_Hen-party-invitations-wording-and-plan</t>
  </si>
  <si>
    <t xml:space="preserve">13:00</t>
  </si>
  <si>
    <t xml:space="preserve">E55</t>
  </si>
  <si>
    <t xml:space="preserve">What is a celebration platform?</t>
  </si>
  <si>
    <t xml:space="preserve">What is a celebration platform, exactly?</t>
  </si>
  <si>
    <t xml:space="preserve">Invites, RSVPs, photos and gifts usually live in four different places.
A celebration platform puts them on one link, so the host isn't stitching together a chat, a spreadsheet, a photo dump and an envelope box.
Here's how it works on Lumhe:
1. Upload any invite you've made (Canva, PDF, image or video) or design one.
2. Add your functions, so each guest sees only the ones they're invited to.
3. Guests RSVP without downloading anything, and you see a live headcount per function.
4. After the event, everyone adds photos to Moments, a shared album that doesn't expire.
In India, guests can also send shagun through Digital Lifafa, straight to your UPI ID.
Swipe through, then try it free at lumhe.com. Link in bio.</t>
  </si>
  <si>
    <t xml:space="preserve">#Lumhe #CelebrationPlatform #DigitalInvitations #OnlineRSVP #EventPlanning #PartyPlanning #SharedPhotoAlbum #EventTech #WeddingPlanning #BirthdayPlanning #GuestList #InviteOnline</t>
  </si>
  <si>
    <t xml:space="preserve">Which part of hosting do you find hardest: invites, RSVPs, photos or gifts?</t>
  </si>
  <si>
    <t xml:space="preserve">Watercolor of a celebration table with a ribbon-tied invitation, a stack of instant photos, a gift envelope and a brass bowl of marigolds around a candle. Cover text reads: What is a celebration platform, exactly?</t>
  </si>
  <si>
    <t xml:space="preserve">Start celebrating free</t>
  </si>
  <si>
    <t xml:space="preserve">EV-E55_A</t>
  </si>
  <si>
    <t xml:space="preserve">New watercolour, blog topic: celebration-platform</t>
  </si>
  <si>
    <t xml:space="preserve">Posts/015_2026-10-14_Carousel_E55_What-is-a-celebration-platform</t>
  </si>
  <si>
    <t xml:space="preserve">S32</t>
  </si>
  <si>
    <t xml:space="preserve">Fall wedding invite dress code tip</t>
  </si>
  <si>
    <t xml:space="preserve">Let your invite set the dress code</t>
  </si>
  <si>
    <t xml:space="preserve">Golden leaves, crisp air and one guest question: what do I wear?
Your fall wedding invitation is the first preview of the day, so let it set the formality before anyone goes shopping.
Try lines like:
"Cocktail attire. The evening gets crisp, so bring a wrap."
"Rustic chic: boots welcome, heels may sink in the orchard."
Pick colors from the season too: burgundy, burnt orange, sage and gold read "fall" instantly.
Building your own invite? Upload it to Lumhe and share one link with RSVP built in. Link in bio. 🍂</t>
  </si>
  <si>
    <t xml:space="preserve">#Lumhe #FallWedding #AutumnWedding #FallWeddingInvitations #WeddingDressCode #OctoberBride #RusticWedding #WeddingInvitationIdeas #BrideToBe #DigitalInvitations #WeddingPlanningTips #BurgundyWedding</t>
  </si>
  <si>
    <t xml:space="preserve">Fall couples: cocktail attire, black-tie or boots-and-flannel? Tell us your dress code.</t>
  </si>
  <si>
    <t xml:space="preserve">Watercolor illustration of a bride holding a bouquet among autumn trees with golden leaves. Text reads: Fall wedding tip, Let your invite set the dress code.</t>
  </si>
  <si>
    <t xml:space="preserve">US-16</t>
  </si>
  <si>
    <t xml:space="preserve">Create Your Own Wedding Invitations: Complete Guide</t>
  </si>
  <si>
    <t xml:space="preserve">Posts/016_2026-10-14_Single_S32_Fall-wedding-invite-dress-code-tip</t>
  </si>
  <si>
    <t xml:space="preserve">19:30</t>
  </si>
  <si>
    <t xml:space="preserve">C24</t>
  </si>
  <si>
    <t xml:space="preserve">Invite platform comparison checklist</t>
  </si>
  <si>
    <t xml:space="preserve">Evite, Paperless Post or Lumhe? Compare this</t>
  </si>
  <si>
    <t xml:space="preserve">The prettiest template isn't always the best invite platform.
Evite and Paperless Post are both well-known names for digital invitations, and each has its fans. Before you commit, run your shortlist through five quick questions:
1. Can guests RSVP without making an account?
2. Can you upload the design you already have?
3. Does it handle multiple events, like a welcome dinner, ceremony and brunch?
4. Is there somewhere for guests to share photos afterward?
5. What's free, and what costs extra?
Whichever platform you pick, these answers decide whether your guests actually reply, and whether you spend RSVP week chasing people by text.
Lumhe is our answer: bring any design, share one link, track RSVPs per event and collect every guest's photos in one Moments album. Free to start at the link in bio.
Save this before you choose.</t>
  </si>
  <si>
    <t xml:space="preserve">#Lumhe #DigitalInvitations #OnlineInvitations #EInvite #WeddingPlanningTips #RSVP #EventPlanningTips #PartyPlanning #WeddingTech #BrideToBe2027 #PaperlessWedding #InvitationIdeas #HostingTips</t>
  </si>
  <si>
    <t xml:space="preserve">Which matters most to you: design, RSVP tracking or price?</t>
  </si>
  <si>
    <t xml:space="preserve">Watercolour illustration of a hand holding a phone with a gold invitation against navy tones. Text reads: Evite, Paperless Post or Lumhe? Compare this.</t>
  </si>
  <si>
    <t xml:space="preserve">Try Lumhe free</t>
  </si>
  <si>
    <t xml:space="preserve">US-15, UK-21</t>
  </si>
  <si>
    <t xml:space="preserve">Wedding Invitations Cheap | Personalised Party Invites: Complete Guide</t>
  </si>
  <si>
    <t xml:space="preserve">Posts/017_2026-10-15_Carousel_C24_Invite-platform-comparison-checklist</t>
  </si>
  <si>
    <t xml:space="preserve">E29</t>
  </si>
  <si>
    <t xml:space="preserve">Rehearsal dinner invite tip</t>
  </si>
  <si>
    <t xml:space="preserve">The night before the vows deserves its own invite</t>
  </si>
  <si>
    <t xml:space="preserve">Toasts, stories and the first time both families share a table.
A rehearsal dinner invite should say three things clearly: who it's for, where to go right after the rehearsal, and whether plus-ones and kids are included. Traditionally the groom's family hosts, but today anyone can.
Wording to borrow: "Before we say I do, let's raise a glass. Join us for dinner after the rehearsal, Friday at 7 p.m."
Make it on Lumhe, send one link and watch the RSVPs come in. Create yours free, link in bio.</t>
  </si>
  <si>
    <t xml:space="preserve">#Lumhe #RehearsalDinner #RehearsalDinnerInvite #WeddingWeekend #WeddingParty #WeddingEve #WeddingInvitationIdeas #BrideAndGroom #WeddingToasts #IntimateDinner #OnlineRSVP</t>
  </si>
  <si>
    <t xml:space="preserve">Rehearsal dinner: cozy family meal or the wedding weekend's real party?</t>
  </si>
  <si>
    <t xml:space="preserve">Watercolor of a candlelit restaurant table set for a rehearsal dinner with roses, marigolds and string lights. Text reads 'The night before the vows deserves its own invite' with a timing tip.</t>
  </si>
  <si>
    <t xml:space="preserve">Create your invite</t>
  </si>
  <si>
    <t xml:space="preserve">EV-E29_A</t>
  </si>
  <si>
    <t xml:space="preserve">New watercolour, blog topic: rehearsal-dinner</t>
  </si>
  <si>
    <t xml:space="preserve">Posts/018_2026-10-15_Single_E29_Rehearsal-dinner-invite-tip</t>
  </si>
  <si>
    <t xml:space="preserve">E02</t>
  </si>
  <si>
    <t xml:space="preserve">Tamil kalyana pathirikai wording and design</t>
  </si>
  <si>
    <t xml:space="preserve">Tamil wedding wording, start to finish</t>
  </si>
  <si>
    <t xml:space="preserve">Jasmine, temple gold and a card that starts with one small symbol.
A Tamil kalyana pathirikai has a rhythm families know by heart. The Pillaiyar Suzhi (உ) sits at the top, both families are named with respect, the muhurtham is stated clearly, and the closing asks guests to come with their kin and bless the couple.
Swipe for:
• What goes first on the card
• A Tamil closing line, with meaning
• An English line for friends
• Design cues that feel traditional, not dated
Tip: put the reception on its own line, since many friends only come for that evening.
Save this for your card meeting. Then upload the final pathirikai to Lumhe and share one link with an RSVP for the muhurtham and reception. Link in bio.</t>
  </si>
  <si>
    <t xml:space="preserve">#Lumhe #TamilWedding #KalyanaPathirikai #TamilWeddingCard #ChennaiWeddings #Muhurtham #TamilBride #KanjeevaramBride #SouthIndianWeddings #ThirumanaAzhaippithazh #WeddingCardDesign #MaduraiWeddings</t>
  </si>
  <si>
    <t xml:space="preserve">Team traditional yellow-and-maroon card or team pastel? Vote below.</t>
  </si>
  <si>
    <t xml:space="preserve">Watercolour of a Tamil bride in a Kanjeevaram silk saree with temple jewellery and a jasmine-strand plait, beside banana trees and marigold garlands. Slides give Tamil wedding invitation wording and design tips.</t>
  </si>
  <si>
    <t xml:space="preserve">Upload your pathirikai</t>
  </si>
  <si>
    <t xml:space="preserve">EV-E02_A</t>
  </si>
  <si>
    <t xml:space="preserve">New watercolour, blog topic: tamil-wedding-invitation</t>
  </si>
  <si>
    <t xml:space="preserve">Posts/019_2026-10-16_Carousel_E02_Tamil-kalyana-pathirikai-wording-and-des</t>
  </si>
  <si>
    <t xml:space="preserve">E46</t>
  </si>
  <si>
    <t xml:space="preserve">60th birthday invite wording</t>
  </si>
  <si>
    <t xml:space="preserve">Sixty years young and still first on the dance floor. Join us for afternoon tea and bubbles.</t>
  </si>
  <si>
    <t xml:space="preserve">Turning sixty deserves better than a 'drinks at ours?' text.
Whether it's a garden party with Pimm's and croquet or a proper afternoon tea with scones and fine china, the invite sets the tone. Keep it warm, a little cheeky and crystal clear on the practical bits: date, start and finish time, address, dress code and an RSVP date.
Scones before or after the speeches? Add a rough timeline so Grandad knows when to stand up.
Copy the wording above, then make your invite on Lumhe and track replies in one place, free.
Who's turning sixty in your family? Tag the person organising it.</t>
  </si>
  <si>
    <t xml:space="preserve">#Lumhe #60thBirthday #SixtyAndFabulous #60thBirthdayParty #BirthdayInvitations #GardenParty #AfternoonTea #MilestoneBirthday #UKParty #PartyPlanningUK #BirthdayIdeas</t>
  </si>
  <si>
    <t xml:space="preserve">Garden party or afternoon tea: how would you celebrate sixty?</t>
  </si>
  <si>
    <t xml:space="preserve">Watercolour of an English garden afternoon tea with a tiered stand, fine china and marigolds under string lights. Text reads: Sixty years young and still first on the dance floor. Join us for afternoon tea and bubbles.</t>
  </si>
  <si>
    <t xml:space="preserve">Make your invite free</t>
  </si>
  <si>
    <t xml:space="preserve">EV-E46_A</t>
  </si>
  <si>
    <t xml:space="preserve">New watercolour, blog topic: 60th-birthday</t>
  </si>
  <si>
    <t xml:space="preserve">Posts/020_2026-10-16_Single_E46_60th-birthday-invite-wording</t>
  </si>
  <si>
    <t xml:space="preserve">E34</t>
  </si>
  <si>
    <t xml:space="preserve">Themed party invites that set the tone</t>
  </si>
  <si>
    <t xml:space="preserve">The theme starts at the invite</t>
  </si>
  <si>
    <t xml:space="preserve">Guests decide how excited to be the moment they open the invite.
A themed invitation does half your hosting for you. It tells kids what to wear, tells parents what to expect, and gets everyone talking before the party even starts.
A few lines to borrow:
🦖 Dinosaurs: "Stomp on over! Max is turning five."
☕ Tea party: "You're invited to a tea-riffic afternoon. Hats encouraged."
🏖️ Beach: "Sunscreen on, flip-flops ready. We're throwing a splash party."
Add the essentials too: date, time, address, what to wear and an RSVP date.
On Lumhe you can upload your themed design or make one, send a single link, and watch the headcount update live. Create your party invite free at lumhe.com.</t>
  </si>
  <si>
    <t xml:space="preserve">#Lumhe #ThemedParty #PartyInvitations #KidsBirthdayParty #DinosaurParty #TeaPartyIdeas #BeachParty #BirthdayPartyIdeas #PartyPlanningMom #KidsPartyIdeas #DigitalInvites #OnlineRSVP #PartyInspo</t>
  </si>
  <si>
    <t xml:space="preserve">What's the best party theme you've ever been invited to?</t>
  </si>
  <si>
    <t xml:space="preserve">Watercolor reel: children in dinosaur costumes beside a dinosaur cake and balloons in a backyard, and a close-up of a tea-party table with floral cups and macarons. Text shares themed invitation wording ideas.</t>
  </si>
  <si>
    <t xml:space="preserve">Bright, bouncy ukulele-pop track with handclaps; quick cuts on each beat.</t>
  </si>
  <si>
    <t xml:space="preserve">EV-E34_A, EV-E34_B</t>
  </si>
  <si>
    <t xml:space="preserve">New watercolour, blog topic: themed-party | New watercolour, blog topic: themed-party</t>
  </si>
  <si>
    <t xml:space="preserve">Posts/021_2026-10-17_Reel_E34_Themed-party-invites-that-set-the-tone</t>
  </si>
  <si>
    <t xml:space="preserve">E58</t>
  </si>
  <si>
    <t xml:space="preserve">Free invitation maker: what to check</t>
  </si>
  <si>
    <t xml:space="preserve">Free to design isn't always free to send</t>
  </si>
  <si>
    <t xml:space="preserve">Before you fall for a template, read what 'free' actually covers.
Some tools let you design for free but charge when you send. Others cap the number of guests or keep RSVPs behind an upgrade. And some ask every guest to download an app first, which is where replies go to die.
A quick checklist before you commit:
• Can you send to your whole list at no cost?
• Do RSVPs come back in one place?
• Can guests open it without signing up?
• Can you bring a design you already made?
Lumhe does all four, free. Bring your Canva file, PDF or video, or design one, and share a single link.
Try it at lumhe.com.</t>
  </si>
  <si>
    <t xml:space="preserve">#Lumhe #FreeInvitations #InvitationMaker #OnlineInvitations #DigitalInvite #FreeTemplates #PartyInvites #EventInvites #DIYInvitations #RSVPOnline #InviteDesign</t>
  </si>
  <si>
    <t xml:space="preserve">What's the most annoying 'free' catch you've run into?</t>
  </si>
  <si>
    <t xml:space="preserve">Watercolor of a tidy desk with sketched invitation layouts, sample cards, colored pencils, tea and marigolds. Text reads: Free to design isn't always free to send.</t>
  </si>
  <si>
    <t xml:space="preserve">EV-E58_A</t>
  </si>
  <si>
    <t xml:space="preserve">New watercolour, blog topic: free-invitation-maker</t>
  </si>
  <si>
    <t xml:space="preserve">Posts/022_2026-10-17_Single_E58_Free-invitation-maker-what-to-check</t>
  </si>
  <si>
    <t xml:space="preserve">E07</t>
  </si>
  <si>
    <t xml:space="preserve">Christian wedding invite: church and reception</t>
  </si>
  <si>
    <t xml:space="preserve">Church at 11. Reception at 7. Separate RSVPs.</t>
  </si>
  <si>
    <t xml:space="preserve">White lilies, a church bell, and a caterer asking for numbers.
Many Christian weddings in India have two parts: the Holy Matrimony at church and a reception later. A wording line families use:
"Together with their families, Anita and Joel request the honour of your presence at their Holy Matrimony at St. Thomas Church, followed by a reception."
Some add a verse at the top, such as 1 Corinthians 13:4, "Love is patient, love is kind."
On Lumhe, guests RSVP to each part separately, so the reception count is real. Create your invite at lumhe.com.</t>
  </si>
  <si>
    <t xml:space="preserve">#Lumhe #ChristianWedding #ChristianWeddingIndia #HolyMatrimony #ChurchWedding #KeralaChristianWedding #GoanWedding #WeddingReception #WhiteSareeBride #WeddingInvitationIndia #ChristianBride #WeddingRSVP</t>
  </si>
  <si>
    <t xml:space="preserve">Which verse would you put on your card? Share it below.</t>
  </si>
  <si>
    <t xml:space="preserve">Watercolour of an Indian Christian bride in a white saree and veil with the groom in a suit outside a whitewashed church, with white lilies and marigold garlands. Text reads: church at 11, reception at 7, separate RSVPs.</t>
  </si>
  <si>
    <t xml:space="preserve">EV-E07_A</t>
  </si>
  <si>
    <t xml:space="preserve">New watercolour, blog topic: christian-wedding</t>
  </si>
  <si>
    <t xml:space="preserve">Posts/023_2026-10-18_Single_E07_Christian-wedding-invite-church-and-rece</t>
  </si>
  <si>
    <t xml:space="preserve">E30</t>
  </si>
  <si>
    <t xml:space="preserve">Christmas-season wedding invitations</t>
  </si>
  <si>
    <t xml:space="preserve">Saying I do when it snows</t>
  </si>
  <si>
    <t xml:space="preserve">A December wedding competes with every office party in town.
Winter weddings are cozy, candlelit and full of twinkle, but your guests' calendars are packed and holiday travel books up early. The invite has to land first and answer more questions than usual.
Swipe for:
• When to send for a December date
• A formal wording sample with a seasonal touch
• A playful option for a relaxed celebration
• The winter details guests always ask about
Tip: name the holiday-week hotel rate on your details page. Guests notice it.
Save this if you're saying "I do" in the snow. Then share your invite, details and RSVP on one Lumhe link. Create yours free at lumhe.com.</t>
  </si>
  <si>
    <t xml:space="preserve">#Lumhe #ChristmasWedding #WinterWedding #DecemberWedding #HolidayWedding #WinterWeddingInvitations #SnowyWedding #WeddingInvitationWording #FestiveWedding #WeddingSeason #EngagedAF #WeddingDetails</t>
  </si>
  <si>
    <t xml:space="preserve">Winter wedding: velvet and candlelight, or would you rather wait for summer?</t>
  </si>
  <si>
    <t xml:space="preserve">Watercolor carousel: a couple under an evergreen arch with red berries, pine garlands and candle lanterns in light snow outside a barn. Slides share timing, wording and guest details for Christmas-season wedding invitations.</t>
  </si>
  <si>
    <t xml:space="preserve">EV-E30_A</t>
  </si>
  <si>
    <t xml:space="preserve">New watercolour, blog topic: christmas-wedding-invitations</t>
  </si>
  <si>
    <t xml:space="preserve">Posts/024_2026-10-18_Carousel_E30_Christmas-season-wedding-invitations</t>
  </si>
  <si>
    <t xml:space="preserve">Dussehra eve meet-up reminder</t>
  </si>
  <si>
    <t xml:space="preserve">Ravan burns tomorrow. Does everyone know where to meet?</t>
  </si>
  <si>
    <t xml:space="preserve">Tomorrow evening, half the colony will be at the Ramlila ground.
And nobody will find anybody.
Fix that tonight. Send the family one link with lunch timings, the ground's location pin and a clear meet-up spot for after the Ravan Dahan (the jalebi stall counts). Ask for a quick RSVP so you know how many plates to plan.
On Lumhe, it takes a few minutes and opens straight from WhatsApp, no app needed. Make yours free, link in bio.</t>
  </si>
  <si>
    <t xml:space="preserve">#Lumhe #DussehraTomorrow #Dussehra #RavanDahan2026 #Vijayadashami2026 #RamlilaNights #DussehraPlans #FestivalReminder #IndianFestivals #FamilyPlans #DigitalInvitation</t>
  </si>
  <si>
    <t xml:space="preserve">Who in your family always gets lost at the Ravan Dahan? Tag them 😄</t>
  </si>
  <si>
    <t xml:space="preserve">Watercolour of a family seen from behind watching a tall Ravan effigy at dusk, a child on her father's shoulders. Text reads 'Ravan burns tomorrow. Does everyone know where to meet?'</t>
  </si>
  <si>
    <t xml:space="preserve">Send one link</t>
  </si>
  <si>
    <t xml:space="preserve">Posts/025_2026-10-19_Single_F05_Dussehra-eve-meet-up-reminder</t>
  </si>
  <si>
    <t xml:space="preserve">F07</t>
  </si>
  <si>
    <t xml:space="preserve">Karva Chauth gathering planning guide</t>
  </si>
  <si>
    <t xml:space="preserve">From sargi to moonrise, planned with love</t>
  </si>
  <si>
    <t xml:space="preserve">Ten days to the most photographed moon of the year. 🌙
Karva Chauth is about the vrat, but for many of us it's also about the evening together: mehendi the night before, the katha with friends, and that rooftop wait for the moon with a sieve in hand.
Swipe for:
• Katha invite wording you can copy
• How to host a mehendi night without chaos
• The puja thali checklist
• A moonrise plan, with a backup
Hosting? Put both evenings in one Lumhe link, see who's coming to each, and gather every moon photo in one Moments album.
Save this and send it to your Karva Chauth group. Link in bio.</t>
  </si>
  <si>
    <t xml:space="preserve">#Lumhe #KarvaChauth2026 #KarvaChauth #KarwaChauth #Sargi #MehendiNight #KarvaChauthThali #MoonriseRitual #FestiveFashion #PunjabiTraditions #IndianFestival #KarvaChauthSpecial</t>
  </si>
  <si>
    <t xml:space="preserve">Mehendi the night before or the same morning? Tell us your ritual.</t>
  </si>
  <si>
    <t xml:space="preserve">Watercolour carousel: a woman in a red saree raising a sieve to the moon on a rooftop beside her husband, and hennaed hands holding a puja thali with a karva, sieve and diya. Slides share Karva Chauth invite wording and a puja checklist.</t>
  </si>
  <si>
    <t xml:space="preserve">Plan the gathering</t>
  </si>
  <si>
    <t xml:space="preserve">PAIR-KC_A, PAIR-KC_B</t>
  </si>
  <si>
    <t xml:space="preserve">Posts/026_2026-10-19_Carousel_F07_Karva-Chauth-gathering-planning-guide</t>
  </si>
  <si>
    <t xml:space="preserve">Karva Chauth</t>
  </si>
  <si>
    <t xml:space="preserve">2026-10-29</t>
  </si>
  <si>
    <t xml:space="preserve">F08</t>
  </si>
  <si>
    <t xml:space="preserve">F06</t>
  </si>
  <si>
    <t xml:space="preserve">Dussehra day greeting</t>
  </si>
  <si>
    <t xml:space="preserve">Goodness wins. Today, and every day after.</t>
  </si>
  <si>
    <t xml:space="preserve">Vijayadashami ki hardik shubhkamnayein! 🏹
Today we remember that truth wins, however tall the Ravan. May this Dussehra burn away whatever weighs on you and bring fresh starts, golden shami leaves and a plate of hot jalebis.
To every Marathi home: Sona ghya, sonyasarkha raha! 💛
From all of us at Lumhe, Happy Dussehra.
Planning the Diwali get-together next? Lumhe is ready when you are.</t>
  </si>
  <si>
    <t xml:space="preserve">#Lumhe #HappyDussehra #ShubhVijayadashami #DussehraWishes #VictoryOfGood #Dasara #DussehraGreetings #DasaraWishes #SonaGhya #FestiveIndia #Vijayadashami2026Wishes</t>
  </si>
  <si>
    <t xml:space="preserve">Leave a 🏹 if you're watching the Ravan Dahan tonight!</t>
  </si>
  <si>
    <t xml:space="preserve">Watercolour of a marigold-wrapped bow and arrow resting against a lit brass diya on a red and yellow rangoli, with shami leaves scattered around. Text reads 'Happy Dussehra: Goodness wins. Today, and every day after.'</t>
  </si>
  <si>
    <t xml:space="preserve">Share the wish</t>
  </si>
  <si>
    <t xml:space="preserve">DAY-DUS_A</t>
  </si>
  <si>
    <t xml:space="preserve">Posts/027_2026-10-20_Single_F06_Dussehra-day-greeting</t>
  </si>
  <si>
    <t xml:space="preserve">E31</t>
  </si>
  <si>
    <t xml:space="preserve">18th birthday invite tip</t>
  </si>
  <si>
    <t xml:space="preserve">Eighteen: officially old enough to write the invite</t>
  </si>
  <si>
    <t xml:space="preserve">Eighteen is the first party they'll want to plan themselves.
Hand over the theme and the wording, and keep the logistics. A good 18th invite still needs the basics: date, start and end time, address, dress code if there is one, and a clear RSVP date so you can plan food.
Wording to borrow: "Eighteen, finally. Come celebrate with cake, music and way too many photos."
On Lumhe they design it, you see the headcount, and everyone's photos land in one Moments album. Create it free, link in bio.</t>
  </si>
  <si>
    <t xml:space="preserve">#Lumhe #18thBirthday #EighteenthBirthday #18thBirthdayParty #MilestoneBirthday #BirthdayInvitations #BackyardParty #PartyPlanning #SeniorYear #BirthdayPartyIdeas #OnlineInvitations</t>
  </si>
  <si>
    <t xml:space="preserve">Parents of 18-year-olds: who wrote the invite in your house?</t>
  </si>
  <si>
    <t xml:space="preserve">Watercolor of a backyard party at dusk with a sparkler-lit cake, instant photos on twine and string lights. Text reads 'Eighteen: officially old enough to write the invite' with a tip for parents.</t>
  </si>
  <si>
    <t xml:space="preserve">Start the invite</t>
  </si>
  <si>
    <t xml:space="preserve">EV-E31_A</t>
  </si>
  <si>
    <t xml:space="preserve">New watercolour, blog topic: 18th-birthday</t>
  </si>
  <si>
    <t xml:space="preserve">Posts/028_2026-10-20_Single_E31_18th-birthday-invite-tip</t>
  </si>
  <si>
    <t xml:space="preserve">E48</t>
  </si>
  <si>
    <t xml:space="preserve">Wedding RSVP website guide (UK)</t>
  </si>
  <si>
    <t xml:space="preserve">Your RSVP site has one job</t>
  </si>
  <si>
    <t xml:space="preserve">Sticky notes, spreadsheets and that RSVP card behind the clock.
A wedding RSVP website gathers every answer in one place, but only if you ask the right questions.
Swipe for what to put on the form, how to handle day and evening guests, when to set the reply-by date and how to make answering effortless.
The big one for UK weddings: day guests and evening guests are really two events. Count them separately and you'll know exactly how many wedding breakfasts to order and how many bacon butties to plan for at 10pm.
Lumhe lets you add both as separate functions under one link, so each guest sees only what they're invited to and you get a live headcount for each. Guests don't need an app or a login.
Save this for your planning folder, share it with your other half and start free at lumhe.com.</t>
  </si>
  <si>
    <t xml:space="preserve">#Lumhe #WeddingRSVP #RSVPWebsite #UKWedding #WeddingPlanningUK #EveningReception #WeddingBreakfast #BrideToBeUK #Engaged2026 #WeddingGuestList #WeddingWebsite #UKBrides</t>
  </si>
  <si>
    <t xml:space="preserve">Day guests vs evening guests: how big is your gap?</t>
  </si>
  <si>
    <t xml:space="preserve">Watercolour of a cosy kitchen table with an open wedding planner, cream RSVP cards tied with twine, a teapot and marigolds. Cover text reads: Your RSVP site has one job.</t>
  </si>
  <si>
    <t xml:space="preserve">Track RSVPs free</t>
  </si>
  <si>
    <t xml:space="preserve">EV-E48_A</t>
  </si>
  <si>
    <t xml:space="preserve">New watercolour, blog topic: wedding-rsvp-website</t>
  </si>
  <si>
    <t xml:space="preserve">Posts/029_2026-10-21_Carousel_E48_Wedding-RSVP-website-guide-UK</t>
  </si>
  <si>
    <t xml:space="preserve">F10</t>
  </si>
  <si>
    <t xml:space="preserve">Halloween invite wording and host plan</t>
  </si>
  <si>
    <t xml:space="preserve">Costumes? Kids? Answer it on the invite</t>
  </si>
  <si>
    <t xml:space="preserve">Two questions will flood your DMs this month. Answer them now.
"Do I have to dress up?" and "Can I bring the kids?" If your Halloween invite answers both, you skip most of October's follow-up texts.
Halloween falls on a Saturday this year, so party calendars will fill fast. Swipe for:
• Wording for an adults-only haunted evening
• Wording for a family costume party
• The two lines every invite needs
• A ten-day host timeline
Make the invite on Lumhe or upload the one you designed, text one link, and watch the RSVPs come in. After the party, guests drop their photos into one Moments album.
Save this, then send yours this week. Link in bio. 🎃</t>
  </si>
  <si>
    <t xml:space="preserve">#Lumhe #Halloween2026 #HalloweenParty #HalloweenInvitations #HalloweenPartyIdeas #CostumeParty #TrickOrTreat #SpookySeason #HalloweenHost #PartyPlanning #FamilyHalloween #HauntedHouseParty #OctoberVibes</t>
  </si>
  <si>
    <t xml:space="preserve">Costume required or optional at your party? Cast your vote below 🎃</t>
  </si>
  <si>
    <t xml:space="preserve">Watercolor carousel: pumpkins and friendly ghosts lining garden stairs, and a mantel styled with a pumpkin, ghosts and a wreath. Slides share Halloween invitation wording and a ten-day host timeline.</t>
  </si>
  <si>
    <t xml:space="preserve">US-72, US-50</t>
  </si>
  <si>
    <t xml:space="preserve">Wedding Invitations Cheap: Complete Guide | Evite Invitations: Review, Features &amp; Alternatives</t>
  </si>
  <si>
    <t xml:space="preserve">Posts/030_2026-10-21_Carousel_F10_Halloween-invite-wording-and-host-plan</t>
  </si>
  <si>
    <t xml:space="preserve">Halloween</t>
  </si>
  <si>
    <t xml:space="preserve">2026-10-31</t>
  </si>
  <si>
    <t xml:space="preserve">R02</t>
  </si>
  <si>
    <t xml:space="preserve">E47</t>
  </si>
  <si>
    <t xml:space="preserve">Save the date: only the essentials</t>
  </si>
  <si>
    <t xml:space="preserve">Names, date, town. The rest can wait.</t>
  </si>
  <si>
    <t xml:space="preserve">The prettiest save the dates say the least.
It's tempting to cram in the venue, the dress code and your entire love story. Don't. A save the date has one job: get the date into calendars before guests book their own plans.
What it needs: your names, the date, the town or region, and 'Formal invitation to follow'. That's it.
Pick a template that matches your season (autumn leaves, winter berries, spring blossom) and keep the wording short enough to read at a glance.
Made yours already? Upload it to Lumhe and share it as one link, then send the full invitation from the same place later.
Save this, and start at lumhe.com.</t>
  </si>
  <si>
    <t xml:space="preserve">#Lumhe #SaveTheDate #SaveTheDateUK #SaveTheDates #WeddingStationery #UKWeddings #EngagedUK #WeddingInspiration #2027Wedding #WeddingTemplates #DigitalSaveTheDate</t>
  </si>
  <si>
    <t xml:space="preserve">Did you send save the dates, or skip straight to invitations?</t>
  </si>
  <si>
    <t xml:space="preserve">Watercolour of a blank cream card propped against a vase of autumn leaves and marigolds, with a fountain pen and calendar page. Text reads: Names, date, town. The rest can wait.</t>
  </si>
  <si>
    <t xml:space="preserve">Send your save-the-date</t>
  </si>
  <si>
    <t xml:space="preserve">EV-E47_A</t>
  </si>
  <si>
    <t xml:space="preserve">New watercolour, blog topic: save-the-date-templates</t>
  </si>
  <si>
    <t xml:space="preserve">Posts/031_2026-10-22_Single_E47_Save-the-date-only-the-essentials</t>
  </si>
  <si>
    <t xml:space="preserve">E59</t>
  </si>
  <si>
    <t xml:space="preserve">Online wedding RSVP: per-function guide</t>
  </si>
  <si>
    <t xml:space="preserve">Five functions. Five different guest lists.</t>
  </si>
  <si>
    <t xml:space="preserve">Your caterer wants a number. Your inbox has twelve maybes.
Online RSVP fixes that, especially for weddings with more than one function.
The trick is per-function invites. Not everyone is invited to every event, and a single 'yes' to 'the wedding' tells you nothing about how many plates the Sangeet needs.
Swipe for how it works, how to set up guest groups before you hit send and what to do about the people who never reply.
On Lumhe, each guest sees only their functions and taps attending or not for each one. You get a live headcount per function, and guests don't need to download anything or log in.
Save this for your wedding planning, share it with whoever is handling the guest list, and try it free at lumhe.com.</t>
  </si>
  <si>
    <t xml:space="preserve">#Lumhe #OnlineRSVP #WeddingRSVP #RSVPTracking #IndianWedding #MultiDayWedding #DestinationWedding #WeddingGuestList #WeddingFunctions #WeddingPlanner #SangeetNight #DigitalWedding</t>
  </si>
  <si>
    <t xml:space="preserve">How many functions is your wedding: two, five or 'don't ask'?</t>
  </si>
  <si>
    <t xml:space="preserve">Watercolour of a mother at a carved wooden table sorting invitation envelopes into neat piles marked with marigolds, roses and jasmine, beside a brass diya and chai. Cover text reads: Five functions. Five different guest lists.</t>
  </si>
  <si>
    <t xml:space="preserve">Set up your RSVP</t>
  </si>
  <si>
    <t xml:space="preserve">EV-E59_A</t>
  </si>
  <si>
    <t xml:space="preserve">New watercolour, blog topic: online-rsvp</t>
  </si>
  <si>
    <t xml:space="preserve">Posts/032_2026-10-22_Carousel_E59_Online-wedding-RSVP-per-function-guide</t>
  </si>
  <si>
    <t xml:space="preserve">E09</t>
  </si>
  <si>
    <t xml:space="preserve">Sister's wedding WhatsApp invite line</t>
  </si>
  <si>
    <t xml:space="preserve">Meri didi ki shaadi hai, aur aap sab ke bina adhoori lagegi. Please zaroor aaiye.</t>
  </si>
  <si>
    <t xml:space="preserve">Inviting people to your sister's wedding hits differently.
You're not just sending details, you're asking people to show up for someone you love. Copy this for your WhatsApp invite:
"मेरी दीदी की शादी है, और आप सब के बिना अधूरी लगेगी। प्लीज़ ज़रूर आइए।"
For a younger sister: "Choti ki shaadi hai! Jo bachpan mein meri chocolate chura leti thi, ab dulhan banegi. Aap sab aaiye."
Then share one Lumhe link with the card, venue and RSVP for every function. Link in bio.</t>
  </si>
  <si>
    <t xml:space="preserve">#Lumhe #SisterKiShaadi #DidiKiShaadi #SisterWedding #WeddingInvitationMessage #ShaadiInvite #WhatsAppInvite #IndianWedding #SiblingLove #BehenKiShaadi #ShaadiSeason2026 #DesiWedding</t>
  </si>
  <si>
    <t xml:space="preserve">Tag the sibling who'll cry first at the vidaai.</t>
  </si>
  <si>
    <t xml:space="preserve">Watercolour of a laughing bride in a red lehenga with marigold jewellery while her younger sister adjusts her dupatta. Text reads 'Meri didi ki shaadi hai, aur aap sab ke bina adhoori lagegi. Please zaroor aaiye.' with an English translation.</t>
  </si>
  <si>
    <t xml:space="preserve">Send the invite</t>
  </si>
  <si>
    <t xml:space="preserve">EV-E09_A</t>
  </si>
  <si>
    <t xml:space="preserve">New watercolour, blog topic: sister-marriage</t>
  </si>
  <si>
    <t xml:space="preserve">Posts/033_2026-10-23_Single_E09_Sister-s-wedding-WhatsApp-invite-line</t>
  </si>
  <si>
    <t xml:space="preserve">E52</t>
  </si>
  <si>
    <t xml:space="preserve">Kids' party invites: themes that work</t>
  </si>
  <si>
    <t xml:space="preserve">Dinosaurs, unicorns and twenty-two Year 2s</t>
  </si>
  <si>
    <t xml:space="preserve">The invite is where a calm kids' party actually begins.
Dinosaurs, princesses, superheroes or unicorns: the theme is the fun part. The wording is what saves your sanity.
For toddlers, keep it simple and tell parents to stay. For primary-age children, theme the language, give a clear drop-off and pick-up time, and ask about allergies on the invite itself.
Add an RSVP date a few days before the party so you can sort the food, the party bags and the number of chairs without a last-minute scramble.
With Lumhe, upload your themed invite, drop one link into the class WhatsApp and see who's coming as parents reply. Nobody needs an app or a login.
Save this for the next birthday, and make yours free at lumhe.com.</t>
  </si>
  <si>
    <t xml:space="preserve">#Lumhe #KidsParty #KidsBirthdayParty #DinosaurParty #PrincessParty #PartyInvitations #UKMums #UKDads #KidsPartyIdeas #BirthdayInvites #ChildrensParty #PartyPlanningUK</t>
  </si>
  <si>
    <t xml:space="preserve">Dinosaur, princess, superhero or unicorn: what's this year's theme?</t>
  </si>
  <si>
    <t xml:space="preserve">Watercolour reel of a child's birthday table in a sunny hall with a dinosaur cake, a paper crown, a superhero cape and marigolds. Opening text reads: Dinosaurs, unicorns and twenty-two Year 2s.</t>
  </si>
  <si>
    <t xml:space="preserve">Make a party invite</t>
  </si>
  <si>
    <t xml:space="preserve">Bouncy, playful ukulele-and-claps kids' party track with a cheeky drum hit on each cut.</t>
  </si>
  <si>
    <t xml:space="preserve">EV-E52_A</t>
  </si>
  <si>
    <t xml:space="preserve">New watercolour, blog topic: kids-party</t>
  </si>
  <si>
    <t xml:space="preserve">Posts/034_2026-10-23_Reel_E52_Kids-party-invites-themes-that-work</t>
  </si>
  <si>
    <t xml:space="preserve">E05</t>
  </si>
  <si>
    <t xml:space="preserve">Gujarati kankotri wording and functions</t>
  </si>
  <si>
    <t xml:space="preserve">Gujarati card wording, tahuko and all</t>
  </si>
  <si>
    <t xml:space="preserve">First kankotri to Ganpati Bappa. The next 400? WhatsApp.
A Gujarati kankotri is warm, detailed and a little poetic. It often opens with a tahuko, lists every function from Mandvo to Hast Melap, and closes with a heartfelt request to come with family.
Swipe for:
• Why the first card is offered to Ganesh
• What a tahuko is and where it goes
• A Gujarati closing line, with meaning
• The function list most families print
Tip: put the raas-garba night on its own line with a dress note. Guests will ask anyway.
Save this for your kankotri meeting. Then upload the card to Lumhe and share one link with an RSVP for each function. Link in bio.</t>
  </si>
  <si>
    <t xml:space="preserve">#Lumhe #GujaratiWedding #Kankotri #GujaratiLagna #Tahuko #RaasGarba #Panetar #AhmedabadWeddings #SuratWeddings #GujjuWedding #WeddingCardWording #ShubhLagna #DandiyaNight</t>
  </si>
  <si>
    <t xml:space="preserve">Raas-garba night or Mandvo: which function does your family go biggest on?</t>
  </si>
  <si>
    <t xml:space="preserve">Watercolour carousel: a kankotri on a brass plate with kumkum and marigolds before a small Ganesh idol, and a raas-garba night with dancers holding dandiya sticks under bandhani drapes and fairy lights. Slides share Gujarati kankotri wording.</t>
  </si>
  <si>
    <t xml:space="preserve">Share your kankotri</t>
  </si>
  <si>
    <t xml:space="preserve">EV-E05_A, EV-E05_B</t>
  </si>
  <si>
    <t xml:space="preserve">New watercolour, blog topic: gujarati | New watercolour, blog topic: gujarati</t>
  </si>
  <si>
    <t xml:space="preserve">Posts/035_2026-10-24_Carousel_E05_Gujarati-kankotri-wording-and-functions</t>
  </si>
  <si>
    <t xml:space="preserve">E32</t>
  </si>
  <si>
    <t xml:space="preserve">Slumber party pickup time tip</t>
  </si>
  <si>
    <t xml:space="preserve">Put pickup time on the invite, not just drop-off</t>
  </si>
  <si>
    <t xml:space="preserve">Kids care about popcorn and pillow forts. Parents care about logistics.
A slumber party invite gets quick yeses when it answers the parent questions up front: drop-off time, pickup time, what to pack, and who to call about allergies.
Wording to borrow: "PJs on, pillows packed! Join us for movies, snacks and giggles. Drop-off 6 p.m., pickup 9 a.m. with pancakes."
Send it on Lumhe and parents can RSVP in a tap, no app needed. Make yours free at lumhe.com.</t>
  </si>
  <si>
    <t xml:space="preserve">#Lumhe #SlumberParty #SleepoverParty #PajamaParty #KidsSleepover #KidsPartyIdeas #BirthdaySleepover #MomLife #PartyPlanningTips #BlanketFort #KidsBirthdayInvite</t>
  </si>
  <si>
    <t xml:space="preserve">Sleepover hosts: what time is a fair pickup, 9 or 10 a.m.?</t>
  </si>
  <si>
    <t xml:space="preserve">Watercolor of a fairy-lit blanket fort with sleeping bags, pillows, popcorn and a teddy bear. Text reads 'Put pickup time on the invite, not just drop-off' with a tip for parents.</t>
  </si>
  <si>
    <t xml:space="preserve">EV-E32_A</t>
  </si>
  <si>
    <t xml:space="preserve">New watercolour, blog topic: slumber-party</t>
  </si>
  <si>
    <t xml:space="preserve">Posts/036_2026-10-24_Single_E32_Slumber-party-pickup-time-tip</t>
  </si>
  <si>
    <t xml:space="preserve">E33</t>
  </si>
  <si>
    <t xml:space="preserve">Dinner party invite wording by vibe</t>
  </si>
  <si>
    <t xml:space="preserve">Pick the vibe, then the words</t>
  </si>
  <si>
    <t xml:space="preserve">A dinner party starts the moment your guests read the invite.
The wording tells them everything before they arrive: how dressed up to get, whether to bring a bottle, and if it's three courses or one big pot of pasta.
Swipe for wording you can copy:
• Formal, for candles and courses
• Casual, for a weeknight pasta night
• Themed, for a supper club with a destination
• A quick checklist so no detail goes missing
Tip: ask about dietary needs in the invite, not the night before.
Save this for your next dinner. Then send the invite on Lumhe, see who's coming and gather everyone's photos from the night in one album. Link in bio.</t>
  </si>
  <si>
    <t xml:space="preserve">#Lumhe #DinnerParty #DinnerPartyIdeas #HostingAtHome #SupperClub #TableSetting #DinnerPartyInvitation #FriendsDinner #EntertainingAtHome #TablescapeInspo #HomeHosting #PartyInvites</t>
  </si>
  <si>
    <t xml:space="preserve">Your dinner party style: formal courses, pasta night or themed supper club?</t>
  </si>
  <si>
    <t xml:space="preserve">Watercolor carousel: friends' hands passing bread over a candlelit dinner table, and a close-up of a place setting with a rosemary-tied napkin and a marigold bud vase. Slides share dinner party invitation wording for every vibe.</t>
  </si>
  <si>
    <t xml:space="preserve">Host your dinner</t>
  </si>
  <si>
    <t xml:space="preserve">EV-E33_A, EV-E33_B</t>
  </si>
  <si>
    <t xml:space="preserve">New watercolour, blog topic: dinner-party | New watercolour, blog topic: dinner-party</t>
  </si>
  <si>
    <t xml:space="preserve">Posts/037_2026-10-25_Carousel_E33_Dinner-party-invite-wording-by-vibe</t>
  </si>
  <si>
    <t xml:space="preserve">E49</t>
  </si>
  <si>
    <t xml:space="preserve">DIY invite: the thumbnail test</t>
  </si>
  <si>
    <t xml:space="preserve">Shrink it to thumbnail size. Still readable?</t>
  </si>
  <si>
    <t xml:space="preserve">Lovely on your laptop doesn't always mean lovely in a WhatsApp preview.
When you design your own invitation, you see it big and beautiful. Your guests see it as a little thumbnail in a busy chat.
Before you send, zoom out until it's postage-stamp sized. Can you still read the names and the date? If not, go bigger on those and lighter on the flourishes.
Also: keep strong contrast, and avoid pale lettering on a pale wash.
Happy with it? Upload your design (image, PDF or video) to Lumhe and share it as one link, with RSVPs built in.
Save this for your next DIY invite and start at lumhe.com.</t>
  </si>
  <si>
    <t xml:space="preserve">#Lumhe #DIYInvitations #DesignYourOwn #InvitationDesign #HandmadeInvites #UKWeddings #CanvaDesign #DIYWedding #PartyInvitationsUK #CreativeUK #StationeryLove</t>
  </si>
  <si>
    <t xml:space="preserve">What's your go-to tool for designing invites?</t>
  </si>
  <si>
    <t xml:space="preserve">Watercolour of a craft table with paints, a half-painted floral invitation card under a magnifying glass, brushes in a jam jar and tea. Text reads: Shrink it to thumbnail size. Still readable?</t>
  </si>
  <si>
    <t xml:space="preserve">Upload your design</t>
  </si>
  <si>
    <t xml:space="preserve">EV-E49_A</t>
  </si>
  <si>
    <t xml:space="preserve">New watercolour, blog topic: design-your-own</t>
  </si>
  <si>
    <t xml:space="preserve">Posts/038_2026-10-25_Single_E49_DIY-invite-the-thumbnail-test</t>
  </si>
  <si>
    <t xml:space="preserve">E10</t>
  </si>
  <si>
    <t xml:space="preserve">Reception-only guest message</t>
  </si>
  <si>
    <t xml:space="preserve">Reception-only guests deserve their own message</t>
  </si>
  <si>
    <t xml:space="preserve">Not everyone comes for the pheras, and that's completely fine.
Office colleagues, neighbours and Papa's business friends usually get a reception-only invite. Give them a message that feels personal, not a forwarded card with five functions they aren't attending.
Another line to borrow: "Aap humare reception mein aaiye, khushiyan double ho jayengi."
With Lumhe's per-function RSVP, reception guests see only the reception, and you get a separate headcount for the caterer. Create your event free, link in bio.</t>
  </si>
  <si>
    <t xml:space="preserve">#Lumhe #WeddingReception #ReceptionInvite #ReceptionNight #IndianWeddingReception #WeddingInvitationMessage #ShaadiReception #WeddingRSVP #IndianWeddings #ShaadiSeason #BigFatIndianWedding</t>
  </si>
  <si>
    <t xml:space="preserve">Reception or pheras: which do you actually enjoy more as a guest?</t>
  </si>
  <si>
    <t xml:space="preserve">Watercolour of a couple in a sherwani and lehenga on a marigold-framed reception stage with fairy lights. Text reads 'Reception-only guests deserve their own message' with a sample invite line.</t>
  </si>
  <si>
    <t xml:space="preserve">EV-E10_A</t>
  </si>
  <si>
    <t xml:space="preserve">New watercolour, blog topic: reception-invitation-messages</t>
  </si>
  <si>
    <t xml:space="preserve">Posts/039_2026-10-26_Single_E10_Reception-only-guest-message</t>
  </si>
  <si>
    <t xml:space="preserve">F12</t>
  </si>
  <si>
    <t xml:space="preserve">Bonfire Night garden party guide</t>
  </si>
  <si>
    <t xml:space="preserve">Fireworks night, planned before the first spark</t>
  </si>
  <si>
    <t xml:space="preserve">Sparklers bought? Guest list next. 🎆
Whether you're lighting a small bonfire at home or meeting friends at the local display, a clear invite saves the "what time?" texts and helps you buy the right number of sausages.
Swipe for:
• Wording for a garden bonfire
• Wording for a park display meet-up
• A safety-first host checklist (hedgehogs included)
• What to serve round the fire
Send it all as one Lumhe link. No app, no login; guests just tap and reply. Afterwards, everyone's sparkler shots go into one Moments album.
Save this for later and share it with whoever's in charge of the matches. Link in bio.</t>
  </si>
  <si>
    <t xml:space="preserve">#Lumhe #BonfireNight #GuyFawkesNight #Bonfire2026 #FireworksNight #RememberRemember #5thNovember #ToffeeApples #Parkin #GardenParty #UKEvents #AutumnEvenings #SparklerSeason</t>
  </si>
  <si>
    <t xml:space="preserve">Garden bonfire or the big park display? Which is your 5 November tradition?</t>
  </si>
  <si>
    <t xml:space="preserve">Watercolour carousel: friends in coats and scarves around a garden bonfire under soft fireworks, and a garden table with toffee apples, hot chocolate, a tartan blanket and sparklers. Slides share Bonfire Night invite wording and a safety checklist.</t>
  </si>
  <si>
    <t xml:space="preserve">PAIR-BON_A, PAIR-BON_B</t>
  </si>
  <si>
    <t xml:space="preserve">Posts/040_2026-10-26_Carousel_F12_Bonfire-Night-garden-party-guide</t>
  </si>
  <si>
    <t xml:space="preserve">Bonfire Night</t>
  </si>
  <si>
    <t xml:space="preserve">2026-11-05</t>
  </si>
  <si>
    <t xml:space="preserve">F13</t>
  </si>
  <si>
    <t xml:space="preserve">F15</t>
  </si>
  <si>
    <t xml:space="preserve">Dhanteras puja and gifting guide</t>
  </si>
  <si>
    <t xml:space="preserve">Diwali week starts with Dhanteras. Plan it.</t>
  </si>
  <si>
    <t xml:space="preserve">Silver coin, new steel kadhai, a row of fresh diyas. ✨
Dhanteras is when the festive shopping lists come out. If you're doing a small puja and dinner for family, it's also the first invite of Diwali week.
Swipe for:
• The traditional Dhanteras shopping list
• Hindi-English invite wording for a puja at home
• A doorstep diya and rangoli idea
• Gifts that suit the day
On Lumhe, put Dhanteras, Diwali and Bhai Dooj under one link, track who's coming each evening, and let family abroad send shagun through Digital Lifafa, straight to your UPI.
Save this and share it with whoever handles the family shopping. Link in bio.</t>
  </si>
  <si>
    <t xml:space="preserve">#Lumhe #Dhanteras2026 #Dhanteras #DhanterasShopping #DiwaliWeek #DhanterasPuja #LakshmiPuja #SilverCoin #DiwaliPrep #FestiveGifting #DiwaliDecor #IndianFestivals2026</t>
  </si>
  <si>
    <t xml:space="preserve">What does your family always buy on Dhanteras: gold, silver, utensils or a new broom?</t>
  </si>
  <si>
    <t xml:space="preserve">Watercolour carousel: a mother and daughter placing lit diyas on a doorstep beside a footprint rangoli and marigold toran, and new brass utensils, a silver coin and a gold bangle on red cloth. Slides share Dhanteras invite wording and gifting ideas.</t>
  </si>
  <si>
    <t xml:space="preserve">Plan Diwali week</t>
  </si>
  <si>
    <t xml:space="preserve">PAIR-DHA_A, PAIR-DHA_B</t>
  </si>
  <si>
    <t xml:space="preserve">Posts/041_2026-10-27_Carousel_F15_Dhanteras-puja-and-gifting-guide</t>
  </si>
  <si>
    <t xml:space="preserve">Dhanteras</t>
  </si>
  <si>
    <t xml:space="preserve">2026-11-06</t>
  </si>
  <si>
    <t xml:space="preserve">F16</t>
  </si>
  <si>
    <t xml:space="preserve">E35</t>
  </si>
  <si>
    <t xml:space="preserve">Catholic wedding: Mass or ceremony</t>
  </si>
  <si>
    <t xml:space="preserve">Nuptial Mass or ceremony? Say which on the invite.</t>
  </si>
  <si>
    <t xml:space="preserve">Guests plan their whole day around how long church takes.
A Nuptial Mass includes readings, a homily and the Eucharist, and usually lasts 45 to 60 minutes. A Catholic ceremony without Mass is closer to 20 to 30. Non-Catholic guests especially appreciate knowing which to expect.
Wording sample: 'request the honor of your presence at the celebration of their marriage with Nuptial Mass, [Parish Name] Church.'
List the church name and full address, the start time, and the reception venue separately if it's somewhere else.
Sending digitally too? Upload your invitation to Lumhe and share one link, with ceremony and reception as separate RSVPs.
Save this for your wedding binder, and visit lumhe.com.</t>
  </si>
  <si>
    <t xml:space="preserve">#Lumhe #CatholicWedding #ChurchWedding #NuptialMass #WeddingInvitations #WeddingWording #FaithAndLove #BrideToBe #WeddingPlanning #InvitationWording #SacramentOfMarriage</t>
  </si>
  <si>
    <t xml:space="preserve">Did your wedding include a full Mass or a shorter ceremony?</t>
  </si>
  <si>
    <t xml:space="preserve">Watercolor of an arched stone church doorway framed with white flowers and marigold garlands, rose petals on the steps. Text reads: Nuptial Mass or ceremony? Say which on the invite.</t>
  </si>
  <si>
    <t xml:space="preserve">EV-E35_A</t>
  </si>
  <si>
    <t xml:space="preserve">New watercolour, blog topic: catholic-wedding</t>
  </si>
  <si>
    <t xml:space="preserve">Posts/042_2026-10-27_Single_E35_Catholic-wedding-Mass-or-ceremony</t>
  </si>
  <si>
    <t xml:space="preserve">Karva Chauth eve reminder reel</t>
  </si>
  <si>
    <t xml:space="preserve">Moonrise tomorrow. Sieve ready?</t>
  </si>
  <si>
    <t xml:space="preserve">Tomorrow, the whole group will be staring at the sky.
Make sure they're on the same terrace. 🌙
If you're hosting the Karva Chauth katha or a moonrise get-together, send the invite tonight, while everyone is still at the mehendi stage and has a free hand (well, half of one).
Put the address, the katha plan and dinner after moonrise in one Lumhe link. Friends RSVP in a tap, no app needed, and you'll know exactly how many plates to set.
Once the moon shows up, everyone's sieve photos land in one Moments album, not scattered across ten chats.
Wishing every fasting heart strength tomorrow. Make your invite free, link in bio.</t>
  </si>
  <si>
    <t xml:space="preserve">#Lumhe #KarvaChauthTomorrow #KarwaChauth2026 #MoonriseWait #KarvaChauthReels #MehendiLove #VratKatha #FestiveReels #ChaandKaIntezaar #FestiveCouple #SargiThali</t>
  </si>
  <si>
    <t xml:space="preserve">Whose moon shows up first in your family group? Let's compare cities 🌙</t>
  </si>
  <si>
    <t xml:space="preserve">Watercolour reel: a woman in a red saree raising a sieve to the moon on a rooftop beside her husband, and hennaed hands holding a puja thali with a karva and diya. Text reminds hosts to send their Karva Chauth invite tonight.</t>
  </si>
  <si>
    <t xml:space="preserve">Soft, romantic folk-pop with dholak and a gentle build, warm and devotional rather than clubby.</t>
  </si>
  <si>
    <t xml:space="preserve">Posts/043_2026-10-28_Reel_F08_Karva-Chauth-eve-reminder-reel</t>
  </si>
  <si>
    <t xml:space="preserve">C04</t>
  </si>
  <si>
    <t xml:space="preserve">RSVP meaning and getting replies</t>
  </si>
  <si>
    <t xml:space="preserve">It means reply. Yes or no.</t>
  </si>
  <si>
    <t xml:space="preserve">Here's a tiny etiquette secret: "Please RSVP" says please twice.
RSVP is short for répondez s'il vous plaît, French for "please reply". It isn't a nice-to-have. A reply, yes or no, is how your caterer, seating plan and evening buffet get planned.
Swipe for:
• What RSVP actually asks of guests
• What "regrets only" means
• Wording that gets people to reply
• How to chase late replies without making it awkward
Save this for your invitation draft, and send it to the friend who still hasn't replied to yours. 👀 Lumhe guests reply from one link, with no app and no login. Link in bio.</t>
  </si>
  <si>
    <t xml:space="preserve">#Lumhe #RSVP #RSVPEtiquette #WeddingEtiquette #UKWedding #PartyPlanningUK #InvitationWording #GuestList #WeddingAdviceUK #HostingTips #EtiquetteTips #DigitalRSVP</t>
  </si>
  <si>
    <t xml:space="preserve">Honestly: how long did it take you to reply to the last invite you got?</t>
  </si>
  <si>
    <t xml:space="preserve">Watercolour carousel: a red tray with a patterned card and fountain pen, and hands holding a tablet with a template grid. Slides explain what RSVP means and how to get guests to reply.</t>
  </si>
  <si>
    <t xml:space="preserve">Get replies faster</t>
  </si>
  <si>
    <t xml:space="preserve">UK-68, US-38</t>
  </si>
  <si>
    <t xml:space="preserve">What Does RSVP Mean? Complete Guide to RSVP Etiquette | What Does RSVP Mean</t>
  </si>
  <si>
    <t xml:space="preserve">Posts/044_2026-10-28_Carousel_C04_RSVP-meaning-and-getting-replies</t>
  </si>
  <si>
    <t xml:space="preserve">F09</t>
  </si>
  <si>
    <t xml:space="preserve">Karva Chauth day greeting</t>
  </si>
  <si>
    <t xml:space="preserve">To every heart waiting on the moon tonight</t>
  </si>
  <si>
    <t xml:space="preserve">Happy Karva Chauth to every fasting heart tonight. 🌙
From the sargi before dawn to the first glimpse of the moon through the channi, today is a quiet, beautiful promise. May your vrat be easy, your evening joyful and your togetherness last a lifetime.
And to everyone carrying the water up to the terrace: you're part of the story too.
With love from team Lumhe. Save tonight's photos in a Moments album, not just the camera roll.</t>
  </si>
  <si>
    <t xml:space="preserve">#Lumhe #HappyKarvaChauth #KarvaChauthWishes #KarwaChauthGreetings #KarvaChauthMoon #ForeverTogether #LoveAndFaith #IndianTraditions #FestiveGreetings #MoonlightPromise</t>
  </si>
  <si>
    <t xml:space="preserve">Send this to the couple whose terrace selfie you're waiting for tonight 🌙</t>
  </si>
  <si>
    <t xml:space="preserve">Watercolour of hennaed hands holding a decorated sieve that frames a glowing moon, with a clay karva and a diya on a terrace ledge. Text reads 'Happy Karva Chauth: To every heart waiting on the moon tonight.'</t>
  </si>
  <si>
    <t xml:space="preserve">DAY-KC_A</t>
  </si>
  <si>
    <t xml:space="preserve">Posts/045_2026-10-29_Single_F09_Karva-Chauth-day-greeting</t>
  </si>
  <si>
    <t xml:space="preserve">F18</t>
  </si>
  <si>
    <t xml:space="preserve">Diwali hosting countdown, ten days out</t>
  </si>
  <si>
    <t xml:space="preserve">Your Diwali hosting plan, ten days out</t>
  </si>
  <si>
    <t xml:space="preserve">The calm Diwali hosts start planning about now.
Diwali falls on 8 November this year, and the last week always disappears into cleaning, shopping and mithai runs. Get the big decisions out of the way first. This carousel gives you a simple countdown:
• Day 10: pick the format and count your guests
• Day 9: send the invite (puja and party wording included)
• Day 7: sort gift hampers for family, friends and colleagues
• Final 3 days: the checklist that saves the evening
Make it one Lumhe link: guests RSVP without an app or login, you see who's coming, and everyone's photos land in a Moments album that never expires. Add Digital Lifafa so relatives who can't make it can still send their gift by UPI, directly to your UPI ID.
Save this, and send it to whoever is hosting at your place this year. Link in bio. 🪔</t>
  </si>
  <si>
    <t xml:space="preserve">#Lumhe #Diwali2026 #DiwaliHosting #DiwaliPlanning #DiwaliInvite #LakshmiPujan #DiwaliGiftHampers #DiwaliPartyIdeas #Deepavali2026 #FestiveHosting #DigitalLifafa #DiwaliDecor #IndianFestivals</t>
  </si>
  <si>
    <t xml:space="preserve">Puja only, or puja plus a full party? What's the plan at your home this Diwali?</t>
  </si>
  <si>
    <t xml:space="preserve">Carousel cover with a watercolour of an elderly couple on a swing with their grandchildren, and the text 'Your Diwali hosting plan, ten days out'. Another slide shows three women in red sarees laughing together.</t>
  </si>
  <si>
    <t xml:space="preserve">Plan your Diwali</t>
  </si>
  <si>
    <t xml:space="preserve">IN-5, UK-65</t>
  </si>
  <si>
    <t xml:space="preserve">Wedding Anniversary Wishes: Heartfelt Messages | Invitation Template: Complete Guide</t>
  </si>
  <si>
    <t xml:space="preserve">Posts/046_2026-10-29_Carousel_F18_Diwali-hosting-countdown-ten-days-out</t>
  </si>
  <si>
    <t xml:space="preserve">Diwali</t>
  </si>
  <si>
    <t xml:space="preserve">2026-11-08</t>
  </si>
  <si>
    <t xml:space="preserve">R03</t>
  </si>
  <si>
    <t xml:space="preserve">E50</t>
  </si>
  <si>
    <t xml:space="preserve">Myth: hashtags collect wedding photos</t>
  </si>
  <si>
    <t xml:space="preserve">Myth: a wedding hashtag will collect every photo</t>
  </si>
  <si>
    <t xml:space="preserve">Your nan won't hashtag anything. Neither will plenty of your guests.
A wedding hashtag feels like the easy answer, but it only catches photos from guests who post publicly, remember the spelling and have open accounts. Everything else stays on their phones.
What most couples actually want: one private place, easy for every guest, that doesn't disappear like a Story and isn't squashed like a WhatsApp forward.
That's Moments on Lumhe. Guests open your invite link, tap upload and add their photos in full quality. No app, no login, and the album stays put.
Where did your guests' photos end up? Tell us below, then start an album free at lumhe.com.</t>
  </si>
  <si>
    <t xml:space="preserve">#Lumhe #WeddingPhotos #WeddingHashtag #UKWedding #GuestPhotos #WeddingPhotoSharing #WeddingMemories #PrivateAlbum #UKBride2027 #MomentsByLumhe #WeddingDayUK</t>
  </si>
  <si>
    <t xml:space="preserve">Did you use a wedding hashtag? Did it actually work?</t>
  </si>
  <si>
    <t xml:space="preserve">Watercolour of a country-house wedding reception at dusk, guests laughing beside champagne flutes, a vintage camera, white roses and marigolds. Text reads: Myth: a wedding hashtag will collect every photo.</t>
  </si>
  <si>
    <t xml:space="preserve">EV-E50_A</t>
  </si>
  <si>
    <t xml:space="preserve">New watercolour, blog topic: photo-sharing-apps-uk</t>
  </si>
  <si>
    <t xml:space="preserve">Posts/047_2026-10-30_Single_E50_Myth-hashtags-collect-wedding-photos</t>
  </si>
  <si>
    <t xml:space="preserve">Halloween party invite with live headcount</t>
  </si>
  <si>
    <t xml:space="preserve">Halloween is Saturday. Invites aren't out.</t>
  </si>
  <si>
    <t xml:space="preserve">Two days to Halloween, and still no costume decision?
The group chat keeps asking "wait, is it costumes?" Here's a last-minute invite you can steal:
"Creeps &amp; Cocktails at the Rivera house. Saturday, October 31, 7 PM. Costumes mandatory, fear optional. Tell us if you're coming before the ghosts do."
Three details guests always need:
• Is it costume-required or costume-optional?
• Is it kid-friendly or after-dark grown-ups only?
• Should they bring anything (a dish, a carved pumpkin, a scary playlist)?
Upload your design to Lumhe, share one link by text or email, and watch RSVPs roll in on a live headcount. You'll know exactly how much candy and punch to buy.
Create your Halloween invite free. Link in bio. 🎃</t>
  </si>
  <si>
    <t xml:space="preserve">#Lumhe #HalloweenParty #HalloweenInvite #Halloween2026 #CostumeParty #SpookySeason #HalloweenDecor #PartyHost #OnlineInvitations #RSVP #LastMinuteParty #HalloweenAtHome</t>
  </si>
  <si>
    <t xml:space="preserve">Costume-required or costume-optional? Settle it in the comments.</t>
  </si>
  <si>
    <t xml:space="preserve">Reel alternating watercolor scenes of pumpkins and ghosts lining garden stairs and a mantel with a pumpkin, ghosts and a wreath, with text about sending a Halloween invite and tracking RSVPs live.</t>
  </si>
  <si>
    <t xml:space="preserve">Make my Halloween invite</t>
  </si>
  <si>
    <t xml:space="preserve">Playful spooky synth or theremin-style trending audio with a bouncy beat; campy, not horror.</t>
  </si>
  <si>
    <t xml:space="preserve">Posts/048_2026-10-30_Reel_R02_Halloween-party-invite-with-live-headcou</t>
  </si>
  <si>
    <t xml:space="preserve">C35</t>
  </si>
  <si>
    <t xml:space="preserve">Bhai Dooj rituals wishes and lifafa</t>
  </si>
  <si>
    <t xml:space="preserve">Tilak, mithai and shagun across the miles</t>
  </si>
  <si>
    <t xml:space="preserve">Bhai Dooj hits differently when your sibling is in another city.
The tilak, the aarti, the mithai, the playful bargaining over gifts: some of it travels well over a video call, and some of it needs a little planning. This carousel covers:
• What the ritual involves, and its names across India
• Wishes in Hindi, Marathi and English
• Gift ideas that don't need a courier
• How to do a video-call Bhai Dooj without chaos
If you're hosting the family lunch, make it one Lumhe link: invite, RSVP and a Moments album for the tilak photos. Turn on Digital Lifafa and siblings who couldn't come can send shagun by UPI, straight to your UPI ID.
Tag your bhai or behen, and save this for next year too. 🪔</t>
  </si>
  <si>
    <t xml:space="preserve">#Lumhe #BhaiDooj #BhaiDooj2026 #BhauBeej #BhaiPhonta #SiblingLove #BhaiBehen #Tilak #DigitalLifafa #Shagun #UPI #IndianFestivals #DiwaliWeek</t>
  </si>
  <si>
    <t xml:space="preserve">Bhai Dooj, Bhau Beej or Bhai Phonta: what do you call it at home?</t>
  </si>
  <si>
    <t xml:space="preserve">Carousel cover showing a watercolour of a sister applying tilak to her brother on a rangoli, with the text 'Tilak, mithai and shagun across the miles'.</t>
  </si>
  <si>
    <t xml:space="preserve">Add Digital Lifafa</t>
  </si>
  <si>
    <t xml:space="preserve">UK-64</t>
  </si>
  <si>
    <t xml:space="preserve">Meaning Of Rsvp In Invitation: Complete Guide</t>
  </si>
  <si>
    <t xml:space="preserve">Posts/049_2026-10-31_Carousel_C35_Bhai-Dooj-rituals-wishes-and-lifafa</t>
  </si>
  <si>
    <t xml:space="preserve">Bhai Dooj</t>
  </si>
  <si>
    <t xml:space="preserve">2026-11-10</t>
  </si>
  <si>
    <t xml:space="preserve">F19</t>
  </si>
  <si>
    <t xml:space="preserve">F11</t>
  </si>
  <si>
    <t xml:space="preserve">Halloween night greeting</t>
  </si>
  <si>
    <t xml:space="preserve">May your candy bowl never run empty tonight</t>
  </si>
  <si>
    <t xml:space="preserve">Porch light on, candy bowl full, costume (mostly) finished. 🎃
Happy Halloween from all of us at Lumhe! To the parents walking the block, the hosts stringing up cobwebs and the neighbor handing out full-size bars: you're the real heroes of tonight.
Stay safe, stay sticky and snap plenty of photos.
Hosting tonight? A Lumhe Moments album keeps every guest's photos in one place.</t>
  </si>
  <si>
    <t xml:space="preserve">#Lumhe #HappyHalloween #Halloween #TrickOrTreating #HalloweenNight #JackOLantern #SpookyFun #HalloweenCostumes #CandyBowl #FamilyFun #October31</t>
  </si>
  <si>
    <t xml:space="preserve">What's the best costume that knocked on your door tonight? 👻</t>
  </si>
  <si>
    <t xml:space="preserve">Watercolor of a twilight front porch with jack-o'-lanterns, a candy bowl, a witch hat on the door and a child in a bedsheet ghost costume reaching for a treat. Text reads 'Happy Halloween: May your candy bowl never run empty tonight.'</t>
  </si>
  <si>
    <t xml:space="preserve">Share the fun</t>
  </si>
  <si>
    <t xml:space="preserve">DAY-HAL_A</t>
  </si>
  <si>
    <t xml:space="preserve">Posts/050_2026-10-31_Single_F11_Halloween-night-greeting</t>
  </si>
  <si>
    <t xml:space="preserve">C12</t>
  </si>
  <si>
    <t xml:space="preserve">Engagement captions and hashtags</t>
  </si>
  <si>
    <t xml:space="preserve">Captions for the ring reveal</t>
  </si>
  <si>
    <t xml:space="preserve">The ring is on. Now the caption needs to land too.
You've got one shot at the ring post, and "Engaged!!!" with twelve exclamation marks is a valid choice. If you want options, we've written some: short ones, funny ones and proposal-story ones, plus how to make a couple hashtag that's actually yours.
One tip before you post: tell your parents and grandparents first. Nobody wants to find out from Instagram. 😉
Save this for the big moment, or send it to the friend who's about to pop the question. Once the congratulations calm down, the save the date comes next, and Lumhe can help with that. Link in bio.</t>
  </si>
  <si>
    <t xml:space="preserve">#Lumhe #EngagementCaptions #SheSaidYes #Engaged #EngagementRing #RingSelfie #JustEngaged #PutARingOnIt #EngagementAnnouncement #CoupleHashtag #FutureMrsAndMr #InstagramCaptions #ProposalStory</t>
  </si>
  <si>
    <t xml:space="preserve">Drop your couple hashtag idea below and we'll rate the pun.</t>
  </si>
  <si>
    <t xml:space="preserve">Watercolour carousel of a couple holding hands to show an engagement ring. Slides offer engagement caption ideas and tips for creating a couple hashtag.</t>
  </si>
  <si>
    <t xml:space="preserve">Plan what's next</t>
  </si>
  <si>
    <t xml:space="preserve">US-35</t>
  </si>
  <si>
    <t xml:space="preserve">Party Invitations - Complete Guide</t>
  </si>
  <si>
    <t xml:space="preserve">Posts/051_2026-11-01_Carousel_C12_Engagement-captions-and-hashtags</t>
  </si>
  <si>
    <t xml:space="preserve">E56</t>
  </si>
  <si>
    <t xml:space="preserve">Send digital invites with RSVP tracking</t>
  </si>
  <si>
    <t xml:space="preserve">Sent 80 invites. Got 6 replies.</t>
  </si>
  <si>
    <t xml:space="preserve">Digital invites are easy. Knowing who's actually coming is the hard part.
Emailing a PDF gets the invite out, but then replies trickle in through texts, emails and 'oh, I meant to tell you' in the hallway at work.
The fix is an invite with RSVP built in:
1. Upload the design you already made, or design one.
2. Add each event if there's more than one.
3. Share one link on WhatsApp, text or email.
4. Watch replies land in one live headcount.
Guests don't download anything or create an account, which is exactly why they reply.
That's how Lumhe works, and it's free. Save this reel and send your next invite from lumhe.com.</t>
  </si>
  <si>
    <t xml:space="preserve">#Lumhe #DigitalInvitations #RSVPTracking #OnlineInvites #EventPlanningTips #PartyPlanning #SendInvites #EventHost #RSVP #PlanningHacks #EInvite</t>
  </si>
  <si>
    <t xml:space="preserve">What's the longest you've waited for an RSVP?</t>
  </si>
  <si>
    <t xml:space="preserve">Watercolor reel of a host at a kitchen counter with a laptop, envelopes pushed aside and marigolds, then a close-up of a ribbon-tied invitation and a softly glowing phone. Opening text reads: Sent 80 invites. Got 6 replies.</t>
  </si>
  <si>
    <t xml:space="preserve">Send your invite free</t>
  </si>
  <si>
    <t xml:space="preserve">Upbeat lo-fi pop beat with a satisfying click or pop sound on each step reveal.</t>
  </si>
  <si>
    <t xml:space="preserve">EV-E56_A, EV-E56_B</t>
  </si>
  <si>
    <t xml:space="preserve">New watercolour, blog topic: send-digital-invitations | New watercolour, blog topic: send-digital-invitations</t>
  </si>
  <si>
    <t xml:space="preserve">Posts/052_2026-11-01_Reel_E56_Send-digital-invites-with-RSVP-tracking</t>
  </si>
  <si>
    <t xml:space="preserve">E11</t>
  </si>
  <si>
    <t xml:space="preserve">One-line wedding invitation message</t>
  </si>
  <si>
    <t xml:space="preserve">Two families, one mandap, and a seat saved just for you.</t>
  </si>
  <si>
    <t xml:space="preserve">Sometimes the shortest invite says the most.
Not every guest needs a paragraph. For the WhatsApp message that goes with your card, try one of these:
• "Hum shaadi kar rahe hain! Aapke bina kaise?"
• "Save the date, bring the dancing shoes."
• "Mandap ready, mithai ready. Bas aapka intezaar hai."
Pair your one-liner with one Lumhe link that holds the card, venue map and RSVP for every function. Create yours free, link in bio.</t>
  </si>
  <si>
    <t xml:space="preserve">#Lumhe #WeddingInvitationMessage #ShortWeddingWishes #WeddingOneLiners #ShaadiCard #IndianWeddingInvite #WhatsAppWeddingInvite #MandapDecor #ShaadiVibes #DigitalShaadiCard #WeddingSeasonIndia</t>
  </si>
  <si>
    <t xml:space="preserve">Write your shaadi invite in one line. Best one gets pinned.</t>
  </si>
  <si>
    <t xml:space="preserve">Watercolour of a mandap corner with hanging marigolds, a brass kalash with mango leaves and two empty ornate chairs. Text reads 'Two families, one mandap, and a seat saved just for you.'</t>
  </si>
  <si>
    <t xml:space="preserve">EV-E11_A</t>
  </si>
  <si>
    <t xml:space="preserve">New watercolour, blog topic: short-wedding-invitation</t>
  </si>
  <si>
    <t xml:space="preserve">Posts/053_2026-11-02_Single_E11_One-line-wedding-invitation-message</t>
  </si>
  <si>
    <t xml:space="preserve">S12</t>
  </si>
  <si>
    <t xml:space="preserve">Check addresses before Christmas cards</t>
  </si>
  <si>
    <t xml:space="preserve">Check addresses before you write a single card</t>
  </si>
  <si>
    <t xml:space="preserve">Card season creeps up fast; start the list now.
A little November admin saves a lot of December stress:
• Pull last year's list and check who's moved
• Write cards in batches of ten, with a cuppa
• Post overseas cards first; they take longest
For friends abroad or anyone whose address you can't confirm, a digital greeting arrives the same day and can't get lost in the post.
Hosting a festive get-together too? Send the invite as one Lumhe link with RSVP. Save this for your December to-do list.</t>
  </si>
  <si>
    <t xml:space="preserve">#Lumhe #ChristmasCards #HolidayCards #ChristmasPrep #FestiveSeason #CardWriting #ChristmasPlanning #Stationery #SnailMail #UKChristmas #OrganisedChristmas</t>
  </si>
  <si>
    <t xml:space="preserve">How many cards do you send each year: a handful, or the whole street?</t>
  </si>
  <si>
    <t xml:space="preserve">Watercolour fan of green and pink holiday cards. Text reads: Card season tip, Check addresses before you write a single card.</t>
  </si>
  <si>
    <t xml:space="preserve">Send a digital greeting</t>
  </si>
  <si>
    <t xml:space="preserve">UK-19</t>
  </si>
  <si>
    <t xml:space="preserve">Christmas &amp; Holiday Party Invitations: Wording &amp; Ideas</t>
  </si>
  <si>
    <t xml:space="preserve">Posts/054_2026-11-02_Single_S12_Check-addresses-before-Christmas-cards</t>
  </si>
  <si>
    <t xml:space="preserve">E06</t>
  </si>
  <si>
    <t xml:space="preserve">Nikah invitation wording and order</t>
  </si>
  <si>
    <t xml:space="preserve">Nikah invitation wording, in order</t>
  </si>
  <si>
    <t xml:space="preserve">Bismillah at the top, Walima at the end, family in between.
A Nikah invitation in India blends Islamic tradition with family warmth. It opens with Bismillah, names the families with respect, and gives clear details for each function, from Manjha and Mehndi to the Nikah and Walima.
Swipe for:
• What goes at the top
• An English line from the bride's parents
• An Urdu-style closing line, with meaning
• Why the Walima often gets its own invite
Tip: write the Nikah time and the Walima date in the same format, so no one mixes them up.
Save this for your card draft. Then upload the invitation to Lumhe and share one link with a separate RSVP for the Nikah and Walima. Link in bio.</t>
  </si>
  <si>
    <t xml:space="preserve">#Lumhe #NikahInvitation #MuslimWedding #NikahCard #Walima #IndianMuslimWedding #Mehndi #HyderabadiWedding #LucknowWedding #WeddingCardWording #Nikah #ShaadiCard #WeddingInvitationIndia</t>
  </si>
  <si>
    <t xml:space="preserve">Do you send one card for all functions, or a separate Walima card?</t>
  </si>
  <si>
    <t xml:space="preserve">Watercolour carousel: a courtyard with arches strung with marigold and jasmine, lanterns and a couple seated on a low stage, and an ornate card with an arch motif on a tray with dates, an attar bottle and rose petals. Slides share Nikah invitation wording.</t>
  </si>
  <si>
    <t xml:space="preserve">Upload your Nikah card</t>
  </si>
  <si>
    <t xml:space="preserve">EV-E06_A, EV-E06_B</t>
  </si>
  <si>
    <t xml:space="preserve">New watercolour, blog topic: Muslim_Wedding | New watercolour, blog topic: Muslim_Wedding</t>
  </si>
  <si>
    <t xml:space="preserve">Posts/055_2026-11-03_Carousel_E06_Nikah-invitation-wording-and-order</t>
  </si>
  <si>
    <t xml:space="preserve">E36</t>
  </si>
  <si>
    <t xml:space="preserve">Diaper party: ask for sizes</t>
  </si>
  <si>
    <t xml:space="preserve">Ask for size 1 and up, not just newborn</t>
  </si>
  <si>
    <t xml:space="preserve">Dad's turn to throw the baby party, and he wants a grill.
A diaper party is the laid-back cousin of the baby shower: backyard, burgers, maybe the game on, and every guest brings a pack of diapers or wipes.
The one detail that makes it useful: list sizes on the invite. Newborn diapers get outgrown in a blink, so ask for a mix of sizes 1 to 3.
Wording to steal: 'Beer, burgers and a baby on the way. Bring a pack of diapers (size 1 or up) and your appetite.'
Make the invite on Lumhe, share one link and see who's coming without chasing the group text.
Tag the dad-to-be, and start free at lumhe.com.</t>
  </si>
  <si>
    <t xml:space="preserve">#Lumhe #DiaperParty #DadToBe #BabyShowerForDad #CoedBabyShower #BabyOnTheWay #BackyardParty #NewDad #BabyShowerIdeas #PartyInvitationsUSA #DiaperShower</t>
  </si>
  <si>
    <t xml:space="preserve">Dads: shower, diaper party or no party at all?</t>
  </si>
  <si>
    <t xml:space="preserve">Watercolor of a backyard grill party with burgers, a diaper-pack cake tied with ribbon, a cooler and marigolds under string lights. Text reads: Ask for size 1 and up, not just newborn.</t>
  </si>
  <si>
    <t xml:space="preserve">Plan the diaper party</t>
  </si>
  <si>
    <t xml:space="preserve">EV-E36_A</t>
  </si>
  <si>
    <t xml:space="preserve">New watercolour, blog topic: diaper-party</t>
  </si>
  <si>
    <t xml:space="preserve">Posts/056_2026-11-03_Single_E36_Diaper-party-ask-for-sizes</t>
  </si>
  <si>
    <t xml:space="preserve">F21</t>
  </si>
  <si>
    <t xml:space="preserve">Chhath Puja family plan, ten days out</t>
  </si>
  <si>
    <t xml:space="preserve">Four days, one ghat, the whole family</t>
  </si>
  <si>
    <t xml:space="preserve">Chhath brings everyone home. A little planning keeps it peaceful.
For many families, Chhath is the one time of year the whole khandaan is back under one roof. That means train tickets, beds, ghat logistics and a lot of thekua. Swipe for:
• The four days of Chhath, in order
• A travel checklist for everyone coming home
• Invite wording for the family WhatsApp group
• What to carry to the ghat
Then put it all on one Lumhe link. Relatives reply without downloading anything, you know who's arriving, and after the sunrise arghya everyone's photos go into a shared Moments album that doesn't expire like Stories.
Save this, and share it with the person in your family who always handles the ghat plan. Link in bio. 🌅</t>
  </si>
  <si>
    <t xml:space="preserve">#Lumhe #ChhathPuja #ChhathPuja2026 #Chhath #ChhathiMaiya #ChhathParv #BiharFestival #Thekua #SandhyaArghya #UshaArghya #PurvanchalTraditions #FamilyFestival #IndianFestivals</t>
  </si>
  <si>
    <t xml:space="preserve">Thekua in your home: crunchy or soft? Settle it below.</t>
  </si>
  <si>
    <t xml:space="preserve">Carousel cover with a watercolour of two women in yellow and orange sarees standing in a river at sunset holding bamboo baskets of fruit and diyas, with the text 'Four days, one ghat, the whole family'.</t>
  </si>
  <si>
    <t xml:space="preserve">Share the ghat plan</t>
  </si>
  <si>
    <t xml:space="preserve">PAIR-CHH_A, PAIR-CHH_B</t>
  </si>
  <si>
    <t xml:space="preserve">Posts/057_2026-11-04_Carousel_F21_Chhath-Puja-family-plan-ten-days-out</t>
  </si>
  <si>
    <t xml:space="preserve">Chhath Puja</t>
  </si>
  <si>
    <t xml:space="preserve">2026-11-15</t>
  </si>
  <si>
    <t xml:space="preserve">F22</t>
  </si>
  <si>
    <t xml:space="preserve">Bonfire Night eve invite reminder</t>
  </si>
  <si>
    <t xml:space="preserve">Bonfire's tomorrow. Send the link tonight.</t>
  </si>
  <si>
    <t xml:space="preserve">Wellies by the door. Guest list still in your head?
Bonfire Night is tomorrow. If you're hosting, tonight's the night to send the details: start time, address, what to wear and whether children are coming, so you've got enough gloves and sparklers to go round.
Make it on Lumhe in a few minutes, or upload the invite you've already designed, then share one link on WhatsApp. Guests reply in a tap, no app needed.
Link in bio. Stay warm out there. 🎆</t>
  </si>
  <si>
    <t xml:space="preserve">#Lumhe #BonfireNightTomorrow #GuyFawkes #FireworkNight #November5th #BonfireParty #UKFamilyFun #SparklerNight #AutumnHosting #LastMinutePlans #DigitalInvites</t>
  </si>
  <si>
    <t xml:space="preserve">What's your non-negotiable Bonfire Night snack? Parkin, toffee apples or a hot dog?</t>
  </si>
  <si>
    <t xml:space="preserve">Watercolour of friends in coats and scarves around a garden bonfire at dusk, one holding a sparkler, with soft fireworks above. Text reads 'Bonfire's tomorrow. Send the link tonight.'</t>
  </si>
  <si>
    <t xml:space="preserve">Send it tonight</t>
  </si>
  <si>
    <t xml:space="preserve">Posts/058_2026-11-04_Single_F13_Bonfire-Night-eve-invite-reminder</t>
  </si>
  <si>
    <t xml:space="preserve">Dhanteras eve puja invite reminder</t>
  </si>
  <si>
    <t xml:space="preserve">Puja tomorrow? Send the invite before you shop.</t>
  </si>
  <si>
    <t xml:space="preserve">The jewellers will be packed tomorrow. Your phone shouldn't be.
If you're hosting family for Dhanteras puja and dinner, send the invite tonight. Add the puja time, the address and whether dinner is on, and ask for a quick RSVP so you know how many plates and diyas you need.
On Lumhe, that's one link on the family WhatsApp group. No app, no login. Relatives who can't make it can still send their blessings and shagun via Digital Lifafa.
Shubh Dhanteras in advance! Link in bio.</t>
  </si>
  <si>
    <t xml:space="preserve">#Lumhe #DhanterasTomorrow #ShubhDhanteras #DiwaliCountdown #FamilyPuja #DiwaliInvite #FestiveReminder #DigitalLifafa #ShagunOnline #IndianHomes #DhanterasEve</t>
  </si>
  <si>
    <t xml:space="preserve">Who in your family starts the Dhanteras shopping list first? Tag them!</t>
  </si>
  <si>
    <t xml:space="preserve">Watercolour of a mother and daughter placing lit diyas on a doorstep beside a footprint rangoli under a marigold toran. Text reads 'Puja tomorrow? Send the invite before you shop.'</t>
  </si>
  <si>
    <t xml:space="preserve">Posts/059_2026-11-05_Single_F16_Dhanteras-eve-puja-invite-reminder</t>
  </si>
  <si>
    <t xml:space="preserve">F14</t>
  </si>
  <si>
    <t xml:space="preserve">Bonfire Night greeting</t>
  </si>
  <si>
    <t xml:space="preserve">Wrap up warm and write your name in sparks</t>
  </si>
  <si>
    <t xml:space="preserve">Remember, remember the fifth of November... and the gloves. 🧤
Whether you're round a garden fire or squeezed in at the park display, we hope tonight brings big bangs, warm hands and someone sharing their parkin.
A little reminder: keep a bucket of water close and sparklers well away from small faces.
Happy Bonfire Night from all of us at Lumhe. If you're hosting, pop your guests' photos into one Moments album tomorrow.</t>
  </si>
  <si>
    <t xml:space="preserve">#Lumhe #HappyBonfireNight #BonfireNight2026 #RememberRememberThe5thOfNovember #Fireworks #Sparklers #GuyFawkesNight2026 #BritishTraditions #CosyEvenings #NightSky #FamilyTime</t>
  </si>
  <si>
    <t xml:space="preserve">Sparkler artists, what are you writing tonight? Your name or someone else's? ✨</t>
  </si>
  <si>
    <t xml:space="preserve">Watercolour of gloved hands drawing loops with sparklers against a night sky, fireworks above and bonfire embers behind a garden wall. Text reads 'Happy Bonfire Night: Wrap up warm and write your name in sparks.'</t>
  </si>
  <si>
    <t xml:space="preserve">Share the warmth</t>
  </si>
  <si>
    <t xml:space="preserve">DAY-BON_A</t>
  </si>
  <si>
    <t xml:space="preserve">Posts/060_2026-11-05_Single_F14_Bonfire-Night-greeting</t>
  </si>
  <si>
    <t xml:space="preserve">F17</t>
  </si>
  <si>
    <t xml:space="preserve">Dhanteras day greeting</t>
  </si>
  <si>
    <t xml:space="preserve">May your home shine brighter than new silver</t>
  </si>
  <si>
    <t xml:space="preserve">Shubh Dhanteras! ✨
Today the first diyas glow at the door, the new utensils come home and Diwali week officially begins. May Maa Lakshmi bless your home with prosperity and Dhanvantari bless your family with good health.
From all of us at Lumhe, a very happy Dhanteras.
Inviting family over this Diwali? Your invite is a link away at lumhe.com.</t>
  </si>
  <si>
    <t xml:space="preserve">#Lumhe #ShubhDhanteras2026 #HappyDhanteras #DhanterasWishes #Dhanvantari #MaaLakshmi #DiwaliBegins #DiyaLights #FestivalOfLights #DhanterasGreetings #ProsperityAndHealth</t>
  </si>
  <si>
    <t xml:space="preserve">Gold, silver or steel: what came home with you today? 🪔</t>
  </si>
  <si>
    <t xml:space="preserve">Watercolour of a red-draped wooden chowki holding a brass lamp, silver coins and a copper kalash, framed by marigold garlands and glowing diyas. Text reads 'Shubh Dhanteras: May your home shine brighter than new silver.'</t>
  </si>
  <si>
    <t xml:space="preserve">DAY-DHA_A</t>
  </si>
  <si>
    <t xml:space="preserve">Posts/061_2026-11-06_Single_F17_Dhanteras-day-greeting</t>
  </si>
  <si>
    <t xml:space="preserve">E51</t>
  </si>
  <si>
    <t xml:space="preserve">What's in a wedding stationery set</t>
  </si>
  <si>
    <t xml:space="preserve">What's actually in a wedding stationery set?</t>
  </si>
  <si>
    <t xml:space="preserve">Stationers talk in 'suites'. Here's what that actually means.
Before the wedding: a save the date, the invitation itself, an RSVP card and a details card for the practical bits (accommodation, parking, dress code, timings).
On the day: order of service, menus, place cards and a table plan.
You don't need every piece in paper. Plenty of couples keep the invitation printed as the keepsake and move RSVPs and details online, where they're easier to update and impossible to lose in a kitchen drawer.
With Lumhe, upload your printed design and share it as a link with RSVPs built in, ceremony and evening reception tracked separately.
Save this checklist and visit lumhe.com.</t>
  </si>
  <si>
    <t xml:space="preserve">#Lumhe #WeddingStationery #StationerySuite #UKWeddingStationery #OrderOfService #PlaceCards #WeddingInvites #UKWeddingPlanning #WeddingDetails #PaperLove #TablePlan</t>
  </si>
  <si>
    <t xml:space="preserve">Which piece of wedding stationery would you skip?</t>
  </si>
  <si>
    <t xml:space="preserve">Watercolour of blank cream wedding stationery pieces with a wax seal, silk ribbon, pressed flowers and marigolds on linen. Text reads: What's actually in a wedding stationery set?</t>
  </si>
  <si>
    <t xml:space="preserve">Add RSVPs online</t>
  </si>
  <si>
    <t xml:space="preserve">EV-E51_A</t>
  </si>
  <si>
    <t xml:space="preserve">New watercolour, blog topic: stationery-wedding</t>
  </si>
  <si>
    <t xml:space="preserve">Posts/062_2026-11-06_Single_E51_What-s-in-a-wedding-stationery-set</t>
  </si>
  <si>
    <t xml:space="preserve">Diwali family get-together invite reel</t>
  </si>
  <si>
    <t xml:space="preserve">'Sab aa rahe hain na?' asks Dadi</t>
  </si>
  <si>
    <t xml:space="preserve">Hosting Diwali milan this year? Stop guessing the numbers.
Family get-togethers go wrong in two places: someone gets left out of the invite, and the food is either too little or enough for a baraat. Fix both:
• Send one invite to the whole family group 5 to 7 days before
• Mention date, time, address and whether it's lunch, dinner or just mithai and patakhe
• Ask each family to RSVP with how many are coming
• Remind everyone the day before
With Lumhe, one link carries your invite and RSVP. You see a live headcount, and on the night every cousin's photos land in one Moments album that doesn't expire.
Share this with whoever is hosting Diwali this year. Create your invite free, link in bio. 🪔</t>
  </si>
  <si>
    <t xml:space="preserve">#Lumhe #Diwali2026 #DiwaliMilan #DiwaliParty #HappyDiwali #FestivalOfLights #IndianFamily #DiwaliCelebrations #FamilyGetTogether #DesiFamily #Deepavali #DiwaliVibes</t>
  </si>
  <si>
    <t xml:space="preserve">Who hosts Diwali in your family? Tag them so they see this.</t>
  </si>
  <si>
    <t xml:space="preserve">Reel alternating watercolour scenes of an elderly couple on a swing with their grandchildren and three women in red sarees laughing together, with text about inviting the whole family to a Diwali get-together through one link.</t>
  </si>
  <si>
    <t xml:space="preserve">Warm festive Indian instrumental with light dhol and shehnai, building to a joyful beat drop.</t>
  </si>
  <si>
    <t xml:space="preserve">Posts/063_2026-11-07_Reel_R03_Diwali-family-get-together-invite-reel</t>
  </si>
  <si>
    <t xml:space="preserve">E37</t>
  </si>
  <si>
    <t xml:space="preserve">How to track RSVPs for free</t>
  </si>
  <si>
    <t xml:space="preserve">Track every RSVP without spending a dime</t>
  </si>
  <si>
    <t xml:space="preserve">That color-coded spreadsheet was cute. Until reply number forty.
RSVP tracking is the wedding chore nobody budgets time for, and the one your caterer cares about most. Most want a final count two to three weeks before the day.
Swipe for three free ways to do it: the spreadsheet (great for small guest lists), the online form (neat, but separate from your invite) and an invitation with RSVP built in.
Whichever you choose, set a reply-by date a week before your caterer's deadline so you have time to follow up.
Lumhe is the third option, and it's free: guests open your invite, tap yes or no for each event, and you see a live headcount. They don't need an app or a login.
Save this before your invites go out, and start at lumhe.com.</t>
  </si>
  <si>
    <t xml:space="preserve">#Lumhe #RSVPTracking #WeddingRSVP #FreeWeddingTools #WeddingBudget #WeddingPlanningTips #GuestListManagement #BrideToBe2027 #WeddingOrganization #EventPlanningUSA #RSVPDeadline #WeddingChecklist</t>
  </si>
  <si>
    <t xml:space="preserve">Spreadsheet, form or built-in RSVP: how are you tracking yours?</t>
  </si>
  <si>
    <t xml:space="preserve">Watercolor of a bright home office table with a highlighted guest list, returned reply cards, a calculator, coffee and marigolds. Cover text reads: Track every RSVP without spending a dime.</t>
  </si>
  <si>
    <t xml:space="preserve">EV-E37_A</t>
  </si>
  <si>
    <t xml:space="preserve">New watercolour, blog topic: track-rsvps</t>
  </si>
  <si>
    <t xml:space="preserve">Posts/064_2026-11-07_Carousel_E37_How-to-track-RSVPs-for-free</t>
  </si>
  <si>
    <t xml:space="preserve">E14</t>
  </si>
  <si>
    <t xml:space="preserve">Return gifts guests keep</t>
  </si>
  <si>
    <t xml:space="preserve">Give something they'll use, not just unwrap</t>
  </si>
  <si>
    <t xml:space="preserve">Be honest: how many return-gift photo frames are in your cupboard?
From Diwali get-togethers to wedding functions, the return gifts people remember are the ones they actually use. A small brass diya gets lit again next year. A tulsi sapling grows on the balcony. A good dry-fruit tin gets refilled for months.
And the gift everyone secretly wants? The photos from the day. Share a Lumhe Moments album and every guest can download their favourites, full quality.
Save this for your next return-gift run. Link in bio.</t>
  </si>
  <si>
    <t xml:space="preserve">#Lumhe #ReturnGifts #ReturnGiftIdeas #WeddingFavours #DiwaliGifts #EcoFriendlyGifts #BrassDiya #TulsiPlant #IndianWeddingFavours #GiftIdeasIndia #FestiveHosting #ShaadiReturnGifts</t>
  </si>
  <si>
    <t xml:space="preserve">Best return gift you've ever received? Worst one too, we won't tell.</t>
  </si>
  <si>
    <t xml:space="preserve">Watercolour of return gifts on a jute runner: brass diyas, tulsi saplings in terracotta, dry-fruit tins and cloth potlis among marigolds. Text reads 'Give something they'll use, not just unwrap' with gift ideas.</t>
  </si>
  <si>
    <t xml:space="preserve">Start an album</t>
  </si>
  <si>
    <t xml:space="preserve">EV-E14_A</t>
  </si>
  <si>
    <t xml:space="preserve">New watercolour, blog topic: return-gift</t>
  </si>
  <si>
    <t xml:space="preserve">Posts/065_2026-11-08_Single_E14_Return-gifts-guests-keep</t>
  </si>
  <si>
    <t xml:space="preserve">S24</t>
  </si>
  <si>
    <t xml:space="preserve">Diwali greeting with diya</t>
  </si>
  <si>
    <t xml:space="preserve">May your home glow as bright as this diya</t>
  </si>
  <si>
    <t xml:space="preserve">Diwali ki hardik shubhkamnayein! Diwalichya hardik shubhechha! 🪔
Today is for diyas on every ledge, marigold torans at the door and that one plate of chakli nobody can stop eating.
Sending wishes today? Try this one:
"May Maa Lakshmi fill your home with roshni, your kitchen with mithai and your heart with peace. Happy Diwali to you and your family."
And if the celebrations continue this week, send your get-together invite as one Lumhe link with RSVP.
Share this with someone you're wishing today. ✨</t>
  </si>
  <si>
    <t xml:space="preserve">#Lumhe #HappyDiwali #ShubhDeepavali #Diwali2026 #DiwaliWishes #Deepavali #FestivalOfLights #DiwaliGreetings #Marigold #DiyaLights #ShubhDiwali #IndianFestivals</t>
  </si>
  <si>
    <t xml:space="preserve">Which Diwali sweet disappears first at your home?</t>
  </si>
  <si>
    <t xml:space="preserve">Watercolour illustration of a gold-framed blank card with marigolds and a lit diya. Text reads: Shubh Deepavali, May your home glow as bright as this diya.</t>
  </si>
  <si>
    <t xml:space="preserve">UK-55</t>
  </si>
  <si>
    <t xml:space="preserve">Templates For Party Invites: Complete Guide</t>
  </si>
  <si>
    <t xml:space="preserve">Posts/066_2026-11-08_Single_S24_Diwali-greeting-with-diya</t>
  </si>
  <si>
    <t xml:space="preserve">E22</t>
  </si>
  <si>
    <t xml:space="preserve">Groom manages a 400-guest list</t>
  </si>
  <si>
    <t xml:space="preserve">Your side of the list: 400</t>
  </si>
  <si>
    <t xml:space="preserve">Your side of the guest list just crossed 400. Now what?
Big Indian families are a blessing, right up until you have to track who's coming to which function. Chachas, mama-mamis, more cousins than you can count, and Papa's business friends who have attended every family function for decades.
The spreadsheet works for about two weeks. Then Papa makes his own version, and nobody knows which list is real.
What works better:
• One list, owned by one person
• Guests invited function by function
• RSVPs that update without a single follow-up call
That's Lumhe. Each guest sees only the functions they're invited to, and you see live headcounts for Haldi, Mehendi, Sangeet, the pheras and the Reception.
Send this to the groom who's quietly drowning in rows. Plan your guest list free, link in bio.</t>
  </si>
  <si>
    <t xml:space="preserve">#Lumhe #GroomLife #DulhaDiaries #BigFatIndianWedding #WeddingGuestList #GuestListManagement #IndianGroom #ShaadiPlanning #WeddingRSVPTracking #SangeetNight #GroomToBe #FamilyWedding</t>
  </si>
  <si>
    <t xml:space="preserve">How many guests are on your side of the list? Be brave.</t>
  </si>
  <si>
    <t xml:space="preserve">Watercolour reel: a groom on a floor cushion surrounded by papers, chai and a marigold garland, and the groom laughing and dancing with cousins at a marigold-lit sangeet. Text shows how per-function RSVP tames a 400-guest list.</t>
  </si>
  <si>
    <t xml:space="preserve">Plan your guest list</t>
  </si>
  <si>
    <t xml:space="preserve">Wry, plucky comedic beat that switches to a high-energy Punjabi dhol track at scene 4.</t>
  </si>
  <si>
    <t xml:space="preserve">EV-E22_A, EV-E22_B</t>
  </si>
  <si>
    <t xml:space="preserve">New watercolour, blog topic: 400-wedding-guests | New watercolour, blog topic: 400-wedding-guests</t>
  </si>
  <si>
    <t xml:space="preserve">Posts/067_2026-11-09_Reel_E22_Groom-manages-a-400-guest-list</t>
  </si>
  <si>
    <t xml:space="preserve">Bhai Dooj tomorrow reminder reel</t>
  </si>
  <si>
    <t xml:space="preserve">Bhai Dooj is tomorrow. Thali ready?</t>
  </si>
  <si>
    <t xml:space="preserve">Tomorrow is for tilak, teasing and too many laddoos.
Bhai Dooj comes right after the Diwali rush, so it's easy to wake up without a thali ready. Tonight's quick check:
• Roli, rice, a diya and the mithai he actually likes
• Lunch plan: who's cooking, who's coming
• Sibling far away? Fix the call time now, across time zones
Hosting the Bhai Dooj lunch? Send it as one Lumhe link so cousins can RSVP in seconds. Switch on Digital Lifafa and a brother who can't travel can still send shagun by UPI, straight to his sister's UPI ID. Afterwards, every tilak photo goes into one Moments album.
Tag the sibling who will definitely forget, and send your invite tonight. Link in bio. 🪔</t>
  </si>
  <si>
    <t xml:space="preserve">#Lumhe #BhaiDooj #HappyBhaiDooj #BhaiDoojTomorrow #BhauBeej #BhaiPhonta #BhaiTika #SiblingsDay #BrotherSisterLove #ShagunOnline #DiwaliWeek2026 #DesiSiblings</t>
  </si>
  <si>
    <t xml:space="preserve">Brothers, be honest: what's the best Bhai Dooj gift you've ever given?</t>
  </si>
  <si>
    <t xml:space="preserve">Reel with a watercolour of a sister applying tilak to her brother over a rangoli, alternating with clean text cards reminding viewers that Bhai Dooj is tomorrow and showing how to send shagun and share photos.</t>
  </si>
  <si>
    <t xml:space="preserve">Soft, nostalgic Indian acoustic track with flute and light tabla that lifts into a warm, playful beat for the closing scenes.</t>
  </si>
  <si>
    <t xml:space="preserve">Posts/068_2026-11-09_Reel_F19_Bhai-Dooj-tomorrow-reminder-reel</t>
  </si>
  <si>
    <t xml:space="preserve">F20</t>
  </si>
  <si>
    <t xml:space="preserve">Bhai Dooj day greeting</t>
  </si>
  <si>
    <t xml:space="preserve">One tilak, a lifetime of 'main mummy ko bataungi'</t>
  </si>
  <si>
    <t xml:space="preserve">Roli on the forehead, laddoo in hand, complaints saved for later.
Happy Bhai Dooj to the siblings who share secrets, steal each other's chargers and still show up every single year, in person or on a video call. Bhau Beej, Bhai Phonta, Bhai Tika: whatever you call it, today is theirs.
Send your bhai or didi this one: "Thank you for being my first friend and my favourite rival."
Siblings far away today? Shagun can still reach by Digital Lifafa on Lumhe. 💛</t>
  </si>
  <si>
    <t xml:space="preserve">#Lumhe #BhaiDooj2026 #HappyBhaiDooj #BhaiBehenKaPyaar #SiblingGoals #BhauBeej2026 #BhaiPhonta2026 #BhaiyaDidi #SiblingBond #FestivalWishes #IndianSiblings</t>
  </si>
  <si>
    <t xml:space="preserve">Tag the sibling who still owes you a Bhai Dooj gift from last year.</t>
  </si>
  <si>
    <t xml:space="preserve">Watercolour of a brass aarti thali on a rangoli with roli, rice, a lit diya, a coconut and mithai, held by a sister's hennaed hand. Text reads: Happy Bhai Dooj. One tilak, a lifetime of 'main mummy ko bataungi'.</t>
  </si>
  <si>
    <t xml:space="preserve">Send shagun</t>
  </si>
  <si>
    <t xml:space="preserve">DAY-BHA_A</t>
  </si>
  <si>
    <t xml:space="preserve">Posts/069_2026-11-10_Single_F20_Bhai-Dooj-day-greeting</t>
  </si>
  <si>
    <t xml:space="preserve">F24</t>
  </si>
  <si>
    <t xml:space="preserve">Dev Uthani Ekadashi and Tulsi Vivah plan</t>
  </si>
  <si>
    <t xml:space="preserve">Tulsi Vivah first, then the shehnai season</t>
  </si>
  <si>
    <t xml:space="preserve">The ekadashi that sets the whole shaadi calendar moving.
Dev Uthani Ekadashi, also known as Prabodhini Ekadashi, falls on 20 November. Many homes mark it with Tulsi Vivah in the aangan, and for lots of families it's the signal that wedding dates can finally be fixed. Swipe for:
• What the day means
• A Tulsi Vivah puja checklist
• Invite wording for neighbours and family
• Four things to finish now if there's a shaadi in your family
Whether it's an evening aarti for 15 or a five-function wedding for 500, Lumhe gives you one link. Each guest sees only their functions, you get a live headcount for each, and Digital Lifafa sends shagun by UPI directly to you.
Save this, and share it with the family member who keeps the panchang. Link in bio. 🌼</t>
  </si>
  <si>
    <t xml:space="preserve">#Lumhe #DevUthaniEkadashi #TulsiVivah #PrabodhiniEkadashi #DevUthani2026 #WeddingSeasonIndia #ShaadiSeason2026 #TulsiPuja #HinduFestivals #ShubhVivah #WeddingPlanningIndia #DigitalLifafa</t>
  </si>
  <si>
    <t xml:space="preserve">Does your family hold Tulsi Vivah at home? Tell us how you decorate the mandap.</t>
  </si>
  <si>
    <t xml:space="preserve">Carousel cover with a watercolour of a tulsi plant dressed as a bride in a red chunri under a sugarcane mandap with marigolds and diyas, and the text 'Tulsi Vivah first, then the shehnai season'.</t>
  </si>
  <si>
    <t xml:space="preserve">PAIR-DEV_A, PAIR-DEV_B</t>
  </si>
  <si>
    <t xml:space="preserve">Posts/070_2026-11-10_Carousel_F24_Dev-Uthani-Ekadashi-and-Tulsi-Vivah-plan</t>
  </si>
  <si>
    <t xml:space="preserve">Dev Uthani Ekadashi / wedding season opens</t>
  </si>
  <si>
    <t xml:space="preserve">2026-11-20</t>
  </si>
  <si>
    <t xml:space="preserve">F25</t>
  </si>
  <si>
    <t xml:space="preserve">C06</t>
  </si>
  <si>
    <t xml:space="preserve">UK save the date guide</t>
  </si>
  <si>
    <t xml:space="preserve">When to send it, what to say</t>
  </si>
  <si>
    <t xml:space="preserve">A save the date is a heads-up, not a full invitation.
Its only job is to get your date into diaries before summer holidays, stag and hen weekends, and everyone else's weddings fill them. So keep it short: names, date, town and a promise that the proper invitation will follow.
Swipe for when to send it, what to include, three wordings you can borrow, and the one etiquette rule that catches couples out.
Save this for your planning folder and share it with your other half. With Lumhe you can share your save the date as one link on WhatsApp or email, then follow up with the full invitation and RSVP. Link in bio.</t>
  </si>
  <si>
    <t xml:space="preserve">#Lumhe #SaveTheDate #SaveTheDateUK #UKWeddingPlanning #WeddingStationeryUK #EngagedUK #2027Wedding #DigitalSaveTheDate #BrideToBeUK #WeddingInspoUK #CotswoldsWedding #WeddingTipsUK</t>
  </si>
  <si>
    <t xml:space="preserve">Digital or printed save the dates: which are you sending? Tell us why.</t>
  </si>
  <si>
    <t xml:space="preserve">Watercolour carousel: a hand pulling a card from a stationery drawer, and a desktop monitor showing a card design beside a marigold vase. Slides explain when to send save the dates and what to write.</t>
  </si>
  <si>
    <t xml:space="preserve">Share your date</t>
  </si>
  <si>
    <t xml:space="preserve">UK-36, UK-53</t>
  </si>
  <si>
    <t xml:space="preserve">Save the Date Cards: When to Send, Wording &amp; Ideas | Save the Date Cards: When to Send, Wording &amp; Ideas</t>
  </si>
  <si>
    <t xml:space="preserve">Posts/071_2026-11-11_Carousel_C06_UK-save-the-date-guide</t>
  </si>
  <si>
    <t xml:space="preserve">E38</t>
  </si>
  <si>
    <t xml:space="preserve">Reception-only wedding invitations</t>
  </si>
  <si>
    <t xml:space="preserve">Private vows? Invite everyone to the party.</t>
  </si>
  <si>
    <t xml:space="preserve">Eloped, married at city hall or kept the ceremony family-only?
You still get the party. A reception-only invitation lets your wider circle celebrate with you, without anyone wondering whether they missed the ceremony.
Be clear and warm: 'Sarah and Michael were married in a private ceremony and invite you to celebrate with them' tells guests exactly what's happening. Then the essentials: date, time, venue, what to expect (cocktails, dinner, dancing) and an RSVP date.
Send it digitally with Lumhe: upload your design, share one link and see a live headcount for the reception.
Would you do a private ceremony and a big party? Tell us, then start yours at lumhe.com.</t>
  </si>
  <si>
    <t xml:space="preserve">#Lumhe #ReceptionOnly #WeddingReception #Elopement #CourthouseWedding #MicroWedding #JustMarried #WeddingParty #ReceptionInvitation #NewlywedsUSA #WeddingCelebration</t>
  </si>
  <si>
    <t xml:space="preserve">Private ceremony plus big party: yes or no?</t>
  </si>
  <si>
    <t xml:space="preserve">Watercolor of a candlelit reception tent with long tables, a two-tier cake and marigold garlands around a glowing dance floor. Text reads: Private vows? Invite everyone to the party.</t>
  </si>
  <si>
    <t xml:space="preserve">Invite them to party</t>
  </si>
  <si>
    <t xml:space="preserve">EV-E38_A</t>
  </si>
  <si>
    <t xml:space="preserve">New watercolour, blog topic: wedding-reception-invitation</t>
  </si>
  <si>
    <t xml:space="preserve">Posts/072_2026-11-11_Single_E38_Reception-only-wedding-invitations</t>
  </si>
  <si>
    <t xml:space="preserve">C13</t>
  </si>
  <si>
    <t xml:space="preserve">Mehendi invitation designs and wording</t>
  </si>
  <si>
    <t xml:space="preserve">Invites as pretty as the henna</t>
  </si>
  <si>
    <t xml:space="preserve">Your Mehendi invite should feel colourful, musical and a little filmy.
It's the most relaxed event of the wedding week, so the invite can play more than the main wedding card does. Think henna-hand illustrations, paisley in emerald and gold, a marigold jhoola, or clean line art on cream.
Inside:
• Four design directions to brief your designer (or pick in Canva)
• A Hinglish line and an English line you can copy
• The practical details guests always ask about
Tip from many shaadis: mention when guests can get their mehendi done. Otherwise everyone queues for the artist at the same time. 💚
Save this, send it to your sister who's handling the Mehendi, and create your function-wise invite free at lumhe.com.</t>
  </si>
  <si>
    <t xml:space="preserve">#Lumhe #MehendiInvitation #MehndiCeremony #MehendiNight #MehendiDecor #IndianWeddingInvite #HennaArt #BrideToBeIndia #ShaadiFunctions #WeddingCardIndia #MehendiVibes #DesiBride</t>
  </si>
  <si>
    <t xml:space="preserve">Green, yellow or full rainbow: what's your Mehendi dress code?</t>
  </si>
  <si>
    <t xml:space="preserve">Watercolour illustration of mehendi cones beside a fan of invitation cards with henna patterns. On-image text reads: Mehendi invites as pretty as the henna.</t>
  </si>
  <si>
    <t xml:space="preserve">Create Mehendi invite</t>
  </si>
  <si>
    <t xml:space="preserve">RU-3</t>
  </si>
  <si>
    <t xml:space="preserve">10 Beautiful Mehendi Invitation Designs — Free Templates to Download &amp; Share</t>
  </si>
  <si>
    <t xml:space="preserve">Posts/073_2026-11-12_Carousel_C13_Mehendi-invitation-designs-and-wording</t>
  </si>
  <si>
    <t xml:space="preserve">S41</t>
  </si>
  <si>
    <t xml:space="preserve">Home printing invitations test tip</t>
  </si>
  <si>
    <t xml:space="preserve">Printing at home? Test on plain paper first.</t>
  </si>
  <si>
    <t xml:space="preserve">Holiday party invites coming off your own printer this year?
Before you load the good card stock, print one copy on plain paper. Check spelling, margins and whether that soft blush color turned out peach. Then switch the printer setting to heavy card stock, feed one sheet at a time, and trim with a paper cutter rather than scissors for clean edges.
Printing a few for close family and sending the rest as a link? Lumhe hosts the same design online with RSVP built in. Save this, and find us via the link in bio.</t>
  </si>
  <si>
    <t xml:space="preserve">#Lumhe #PrintAtHome #DIYInvitations #HolidayPartyInvites #PrintableInvitations #CardStock #CraftTips #InvitationPrinting #HolidayHosting #DIYTips #StationeryLove</t>
  </si>
  <si>
    <t xml:space="preserve">What's your worst home-printing fail? We won't judge.</t>
  </si>
  <si>
    <t xml:space="preserve">Watercolour illustration of a home printer printing an invitation card beside a vase of flowers. On-image text reads: Printing at home? Test on plain paper first.</t>
  </si>
  <si>
    <t xml:space="preserve">Share it online</t>
  </si>
  <si>
    <t xml:space="preserve">US-61</t>
  </si>
  <si>
    <t xml:space="preserve">Halloween Party Invitations: Spooky Wording &amp; Ideas</t>
  </si>
  <si>
    <t xml:space="preserve">Posts/074_2026-11-12_Single_S41_Home-printing-invitations-test-tip</t>
  </si>
  <si>
    <t xml:space="preserve">C18</t>
  </si>
  <si>
    <t xml:space="preserve">First birthday invitation themes and wording</t>
  </si>
  <si>
    <t xml:space="preserve">One candle, a lot of guests</t>
  </si>
  <si>
    <t xml:space="preserve">One candle and a lot of excited grandparents.
A first birthday is really a party for the grown-ups who made it through year one, and the invitation sets the mood. Swipe for themes that suit a one-year-old, ready wording (royal, sweet and wild), and the practical details parents of little guests will thank you for.
A tip from the trenches: plan the party around nap time, not the other way round. A rested birthday baby is a smiling one in photos. 🎈
Save this for your planning, and share it with a parent whose little one is turning one soon. On Lumhe one link holds the invite and RSVPs, plus an album for every guest's photos. Link in bio.</t>
  </si>
  <si>
    <t xml:space="preserve">#Lumhe #FirstBirthday #FirstBirthdayParty #TurningOne #OneYearOld #WildOne #ONEderland #FirstBirthdayIdeas #SmashCake #BirthdayInvitation #BabyFirstBirthday #PartyThemes #MomLife</t>
  </si>
  <si>
    <t xml:space="preserve">Which theme are you choosing: Wild One, ONEderland or Little Royal? Tell us below.</t>
  </si>
  <si>
    <t xml:space="preserve">Watercolour carousel: a baby at a first-birthday cake table with balloons, and a pink first-birthday cake topped with a crown and balloons. Slides give first birthday themes and invitation wording.</t>
  </si>
  <si>
    <t xml:space="preserve">Create the invite</t>
  </si>
  <si>
    <t xml:space="preserve">IN-43, US-80</t>
  </si>
  <si>
    <t xml:space="preserve">Happy Wedding Anniversary To Both Of You: Complete Guide | Electronic Wedding Invitations: Complete Guide</t>
  </si>
  <si>
    <t xml:space="preserve">Posts/075_2026-11-13_Carousel_C18_First-birthday-invitation-themes-and-wor</t>
  </si>
  <si>
    <t xml:space="preserve">E53</t>
  </si>
  <si>
    <t xml:space="preserve">RSVP card: the seat-count line</t>
  </si>
  <si>
    <t xml:space="preserve">'We have reserved two seats in your honour.'</t>
  </si>
  <si>
    <t xml:space="preserve">The most useful line on an RSVP card isn't 'accepts' or 'declines'.
It's the seat count. 'We have reserved two seats in your honour' quietly answers the plus-one question before anyone asks it.
What else to print: a reply-by date (usually six to eight weeks before the wedding), a space for names, accepts or declines, dietary requirements, and a separate line for evening reception guests if you have them.
Printed cards are lovely, but they do get lost in handbags and drawers. Many couples add a link so guests can reply in seconds; with Lumhe, every answer lands in one live headcount.
Save this for when you order your stationery, and visit lumhe.com.</t>
  </si>
  <si>
    <t xml:space="preserve">#Lumhe #RSVPCards #WeddingRSVPUK #UKWeddingStationeryIdeas #WeddingInvitationsUK #PlusOne #WeddingEtiquette #RSVPWording #UKBride #WeddingPlanning2027 #WeddingStationeryUK</t>
  </si>
  <si>
    <t xml:space="preserve">Plus-ones: named, unnamed or not at all?</t>
  </si>
  <si>
    <t xml:space="preserve">Watercolour close-up of blank cream RSVP cards on linen beside a fountain pen, a wax-sealed envelope and marigold petals. Text reads: We have reserved two seats in your honour.</t>
  </si>
  <si>
    <t xml:space="preserve">Collect RSVPs free</t>
  </si>
  <si>
    <t xml:space="preserve">EV-E53_A</t>
  </si>
  <si>
    <t xml:space="preserve">New watercolour, blog topic: rsvp-cards</t>
  </si>
  <si>
    <t xml:space="preserve">Posts/076_2026-11-13_Single_E53_RSVP-card-the-seat-count-line</t>
  </si>
  <si>
    <t xml:space="preserve">Chhath tomorrow ghat plan reminder</t>
  </si>
  <si>
    <t xml:space="preserve">Ghat location, family plan, timings: sent yet?</t>
  </si>
  <si>
    <t xml:space="preserve">The soop is packed. Is the family actually on the same page?
Chhath's ghat days start early and run on teamwork: who carries the daura, where everyone meets, which ghat the family is using this year. Put it in one message tonight and save yourself the calls tomorrow.
Share it as a Lumhe link, and relatives can open it without an app, see the plan and RSVP. After the arghya, everyone's photos go into one Moments album.
Send the plan tonight. Link in bio. 🌅</t>
  </si>
  <si>
    <t xml:space="preserve">#Lumhe #ChhathPuja2026 #ChhathTomorrow #ChhathMahaparv #JaiChhathiMaiya #ChhathGhat #BiharDiaries #PatnaDiaries #ChhathVibes #FamilyPlans #FestivalReminder</t>
  </si>
  <si>
    <t xml:space="preserve">Which ghat does your family go to every year?</t>
  </si>
  <si>
    <t xml:space="preserve">Watercolour of two women in bright sarees standing in a river at sunset holding bamboo baskets of fruit and diyas. Text reads: Chhath is tomorrow. Ghat location, family plan, timings: sent yet?</t>
  </si>
  <si>
    <t xml:space="preserve">Send the plan</t>
  </si>
  <si>
    <t xml:space="preserve">Posts/077_2026-11-14_Single_F22_Chhath-tomorrow-ghat-plan-reminder</t>
  </si>
  <si>
    <t xml:space="preserve">F26</t>
  </si>
  <si>
    <t xml:space="preserve">Gurpurab path and langar hosting guide</t>
  </si>
  <si>
    <t xml:space="preserve">Path, kirtan and langar: invite the sangat</t>
  </si>
  <si>
    <t xml:space="preserve">Opening your home for Gurpurab? Here's the plan, ten days ahead.
Guru Nanak Jayanti falls on 24 November. In the days before, the mornings fill with Prabhat Pheri, and many families hold a Sukhmani Sahib path or kirtan at home followed by langar. Swipe for:
• What the Gurpurab week usually looks like
• A home path checklist
• Invite wording you can copy
• How to share the langar seva without last-minute panic
Send the invite as a single Lumhe link on WhatsApp. Elders can open it without an app or login, you get RSVPs for a real langar headcount, and every diya-lit photo from the evening lands in one Moments album.
Save this, and share it with the family hosting the path this year. Link in bio. 🙏</t>
  </si>
  <si>
    <t xml:space="preserve">#Lumhe #Gurpurab #GuruNanakJayanti #Gurpurab2026 #PrakashPurab #Langar #SewaSimran #SukhmaniSahib #PrabhatPheri #Waheguru #PunjabiFamily #SikhCommunity #Kirtan</t>
  </si>
  <si>
    <t xml:space="preserve">Which langar dish do you look forward to most: kaali dal, kheer or karah prasad?</t>
  </si>
  <si>
    <t xml:space="preserve">Carousel cover with a watercolour of a white gurdwara courtyard glowing with diyas and marigold garlands as a family walks in with heads covered, and the text 'Path, kirtan and langar: invite the sangat'.</t>
  </si>
  <si>
    <t xml:space="preserve">Invite the sangat</t>
  </si>
  <si>
    <t xml:space="preserve">PAIR-GNJ_A, PAIR-GNJ_B</t>
  </si>
  <si>
    <t xml:space="preserve">Posts/078_2026-11-14_Carousel_F26_Gurpurab-path-and-langar-hosting-guide</t>
  </si>
  <si>
    <t xml:space="preserve">Guru Nanak Jayanti (Gurpurab)</t>
  </si>
  <si>
    <t xml:space="preserve">2026-11-24</t>
  </si>
  <si>
    <t xml:space="preserve">F27</t>
  </si>
  <si>
    <t xml:space="preserve">E15</t>
  </si>
  <si>
    <t xml:space="preserve">Gift box hero item tip</t>
  </si>
  <si>
    <t xml:space="preserve">Build the box around one hero item</t>
  </si>
  <si>
    <t xml:space="preserve">A gift box feels thoughtful when one thing clearly leads.
Start with the hero: a scented candle for a new home, an engraved frame for newlyweds, a brass diya for the festive season. Then build around it with smaller things that match: a jar of dry fruits, artisan chocolates, a sachet of kesar. Finish with a handwritten note. That's the part people keep.
Tip: line the box with tissue and pack the heaviest item at the bottom.
Sending the invite for the event too? Make it on Lumhe, free, link in bio.</t>
  </si>
  <si>
    <t xml:space="preserve">#Lumhe #GiftBox #GiftHamper #GiftBoxIdeas #WeddingGiftBox #FestiveHamper #GiftPacking #CuratedGifts #DryFruitHamper #GiftingIdeasIndia #HandwrittenNote</t>
  </si>
  <si>
    <t xml:space="preserve">What's always in your gift box: dry fruits, chocolates or something homemade?</t>
  </si>
  <si>
    <t xml:space="preserve">Watercolour of an open kraft hamper with dry fruits, a candle, chocolates and a brass diya, tied with ribbon and marigolds. Text reads 'Build the box around one hero item' with a packing tip.</t>
  </si>
  <si>
    <t xml:space="preserve">EV-E15_A</t>
  </si>
  <si>
    <t xml:space="preserve">New watercolour, blog topic: Gift_Box</t>
  </si>
  <si>
    <t xml:space="preserve">Posts/079_2026-11-15_Single_E15_Gift-box-hero-item-tip</t>
  </si>
  <si>
    <t xml:space="preserve">F23</t>
  </si>
  <si>
    <t xml:space="preserve">Chhath Puja day greeting</t>
  </si>
  <si>
    <t xml:space="preserve">Chhath Puja ki hardik shubhkamnayein</t>
  </si>
  <si>
    <t xml:space="preserve">To every vrati standing in the water with folded hands today.
Chhath is devotion at its most patient: days of fasting, the walk to the ghat with the daura on someone's head, the hush before the sun appears, and the thekua shared afterwards with everyone around.
Wishing you and your family the blessings of Chhathi Maiya and Surya Dev.
And when you're back home, collect the ghat photos from everyone in one Moments album on Lumhe. 🌅</t>
  </si>
  <si>
    <t xml:space="preserve">#Lumhe #HappyChhathPuja #ChhathPujaWishes #ChhathiMaiya #SuryaDev #ChhathPuja2026 #Arghya #ChhathParv2026 #Bihar #Purvanchal #IndianTraditions</t>
  </si>
  <si>
    <t xml:space="preserve">Send your Chhath wishes to your family here, in your own words.</t>
  </si>
  <si>
    <t xml:space="preserve">Watercolour of a woman in a yellow saree standing in a river at sunrise, pouring water from a brass lota towards the sun, with a basket of fruit and a floating diya beside her. Text reads: Chhath Puja ki hardik shubhkamnayein.</t>
  </si>
  <si>
    <t xml:space="preserve">Share the photos</t>
  </si>
  <si>
    <t xml:space="preserve">DAY-CHH_A</t>
  </si>
  <si>
    <t xml:space="preserve">Posts/080_2026-11-15_Single_F23_Chhath-Puja-day-greeting</t>
  </si>
  <si>
    <t xml:space="preserve">E39</t>
  </si>
  <si>
    <t xml:space="preserve">Vintage or western invitation poll</t>
  </si>
  <si>
    <t xml:space="preserve">Lace and letterpress, or boots and barn doors?</t>
  </si>
  <si>
    <t xml:space="preserve">Some invitations feel like they came out of a cedar chest.
Vintage invitations lean on texture: deckled edges, letterpress, lace wraps, sepia tones and classic serif type. Western ones swap the lace for kraft paper, twine, horseshoes and a hand-lettered ranch name.
Both work for a barn, a vineyard or a backyard, and both photograph beautifully.
Whichever way you lean, you can upload the finished design to Lumhe and share it as one link, with RSVPs built in and no app for guests.
Comment LACE or BOOTS and show us your style. Then start your invite at lumhe.com.</t>
  </si>
  <si>
    <t xml:space="preserve">#Lumhe #VintageWedding #WesternWedding #RusticWedding #BarnWedding #LetterpressInvitations #CountryWedding #WeddingStyle #WeddingInspo #RanchWedding #WeddingInvitationIdeas</t>
  </si>
  <si>
    <t xml:space="preserve">LACE or BOOTS? Drop your answer below.</t>
  </si>
  <si>
    <t xml:space="preserve">Watercolor of two blank invitations on a weathered barn plank, one wrapped in lace with a pressed rose, one tied with twine and a horseshoe, with cowboy boots and marigolds. Text reads: Lace and letterpress, or boots and barn doors?</t>
  </si>
  <si>
    <t xml:space="preserve">EV-E39_A</t>
  </si>
  <si>
    <t xml:space="preserve">New watercolour, blog topic: vintage</t>
  </si>
  <si>
    <t xml:space="preserve">Posts/081_2026-11-16_Single_E39_Vintage-or-western-invitation-poll</t>
  </si>
  <si>
    <t xml:space="preserve">F29</t>
  </si>
  <si>
    <t xml:space="preserve">Thanksgiving hosting plan, ten days out</t>
  </si>
  <si>
    <t xml:space="preserve">The long table needs a guest list first</t>
  </si>
  <si>
    <t xml:space="preserve">Ten days is plenty of time if you start tonight.
Thanksgiving is Thursday, November 26, and the hosts who stay relaxed are the ones who settle the guest count early. Everything else depends on it: the size of the bird, the number of chairs, how many pies to bake. Swipe for:
• Invite wording you can send today
• Turkey math and fridge-thawing timing
• A three-days-out setup list
• Little table rituals people actually remember
Send it all as one Lumhe link. Guests RSVP in a tap with no app or login, you watch the headcount update, and after dinner everyone adds their photos to a shared Moments album instead of scattering them across group chats.
Save this and share it with your co-host. Your free invite is at lumhe.com. 🦃</t>
  </si>
  <si>
    <t xml:space="preserve">#Lumhe #Thanksgiving2026 #ThanksgivingHosting #ThanksgivingPrep #ThanksgivingInvite #HostingThanksgiving #TurkeyDay #HolidayHosting #FallEntertaining #ThanksgivingTable #GatherTogether #HolidayPlanning</t>
  </si>
  <si>
    <t xml:space="preserve">Turkey, ham or a vegetarian main: what's the centerpiece at your table this year?</t>
  </si>
  <si>
    <t xml:space="preserve">Carousel cover with a watercolour of an autumn barn with picnic tables and string lights, and the text 'The long table needs a guest list first'. Another slide shows a garden dinner party under string lights.</t>
  </si>
  <si>
    <t xml:space="preserve">US-6, US-39</t>
  </si>
  <si>
    <t xml:space="preserve">Gender Reveal Party Invitations: Wording, Ideas &amp; Free Templates | Personalized Party Invites Guide</t>
  </si>
  <si>
    <t xml:space="preserve">Posts/082_2026-11-16_Carousel_F29_Thanksgiving-hosting-plan-ten-days-out</t>
  </si>
  <si>
    <t xml:space="preserve">Thanksgiving</t>
  </si>
  <si>
    <t xml:space="preserve">2026-11-26</t>
  </si>
  <si>
    <t xml:space="preserve">R09</t>
  </si>
  <si>
    <t xml:space="preserve">E08</t>
  </si>
  <si>
    <t xml:space="preserve">Original Hindi shayari for wedding cards</t>
  </si>
  <si>
    <t xml:space="preserve">Two lines your shaadi card deserves</t>
  </si>
  <si>
    <t xml:space="preserve">Two lines of shayari can do what a whole paragraph can't.
A shaadi card with a sher on top feels instantly personal. The trick is choosing a tone that matches your family: devotional for the elders' card, warm for relatives, a little filmy for friends.
Swipe for four original couplets you can copy:
• A traditional one about two families
• A heartfelt invite
• A blessing line for elders
• A playful one for the friends' group
Tip: keep shayari to two lines, and place it between the invocation and the names. More than that, and guests skip it.
Save this and send it to the cousin who's "good with words". Then upload your card to Lumhe and share one link. Link in bio.</t>
  </si>
  <si>
    <t xml:space="preserve">#Lumhe #WeddingShayari #HindiShayari #ShaadiCard #ShayariForWeddingCard #ShaadiKaCard #HindiWedding #WeddingCardIdeas #ShaadiSeason #DulhanDiaries #IndianWeddingInvite #Shayari</t>
  </si>
  <si>
    <t xml:space="preserve">Write your own two-line shaadi shayari in the comments. Best one gets a reshare.</t>
  </si>
  <si>
    <t xml:space="preserve">Watercolour of a blank ornate card on a low wooden desk with a brass inkpot, a calligraphy pen, a diya and marigolds. Slides share original Hindi shayari for wedding invitation cards.</t>
  </si>
  <si>
    <t xml:space="preserve">Upload your shaadi card</t>
  </si>
  <si>
    <t xml:space="preserve">EV-E08_A</t>
  </si>
  <si>
    <t xml:space="preserve">New watercolour, blog topic: shayari</t>
  </si>
  <si>
    <t xml:space="preserve">Posts/083_2026-11-17_Carousel_E08_Original-Hindi-shayari-for-wedding-cards</t>
  </si>
  <si>
    <t xml:space="preserve">E54</t>
  </si>
  <si>
    <t xml:space="preserve">Card or online invites poll (UK)</t>
  </si>
  <si>
    <t xml:space="preserve">Card on the mantelpiece, or a link in the chat?</t>
  </si>
  <si>
    <t xml:space="preserve">There's no wrong answer, just the one that suits your guests.
Printed cards still have real pull in the UK: something to hold, something for the fridge door, something to tuck into a scrapbook. Online invitations win on speed, easy updates and replies that actually come back.
Many couples now do both: a printed card for the keepsake and a link for RSVPs, with day and evening guests tracked separately.
Whichever you pick, Lumhe takes any design you've made, a scanned card or a Canva file, and turns it into one shareable link with RSVPs built in.
So which is it for you: card, online or both? Tell us in the comments.</t>
  </si>
  <si>
    <t xml:space="preserve">#Lumhe #WeddingInvitations #UKWedding #PrintedInvitations #OnlineInvitations #WeddingPoll #WeddingStationeryLove #DigitalWedding #UKWeddingIdeas #EngagedLife #WeddingDecisions</t>
  </si>
  <si>
    <t xml:space="preserve">Card, online or both? One word in the comments.</t>
  </si>
  <si>
    <t xml:space="preserve">Watercolour of a cosy living-room mantelpiece with a blank cream invitation card between a carriage clock and a vase of marigolds and roses. Text reads: Card on the mantelpiece, or a link in the chat?</t>
  </si>
  <si>
    <t xml:space="preserve">Vote in comments</t>
  </si>
  <si>
    <t xml:space="preserve">EV-E54_A</t>
  </si>
  <si>
    <t xml:space="preserve">New watercolour, blog topic: card-wedding-invites</t>
  </si>
  <si>
    <t xml:space="preserve">Posts/084_2026-11-17_Single_E54_Card-or-online-invites-poll-UK</t>
  </si>
  <si>
    <t xml:space="preserve">E17</t>
  </si>
  <si>
    <t xml:space="preserve">Satyanarayan Katha aarti timing tip</t>
  </si>
  <si>
    <t xml:space="preserve">Say when the aarti is, not just when katha starts</t>
  </si>
  <si>
    <t xml:space="preserve">Some guests arrive just in time for prasad. Help them.
A Satyanarayan Katha invitation needs the occasion (new home, anniversary, or an annual puja), the date, the katha start time, the aarti time and the address.
Wording to borrow:
"श्री सत्यनारायण कथा के पावन अवसर पर आप सपरिवार सादर आमंत्रित हैं। कथा के पश्चात आरती एवं प्रसाद।"
Share it as one Lumhe link with the timings and a map, and see who's coming before you order the prasad. Link in bio.</t>
  </si>
  <si>
    <t xml:space="preserve">#Lumhe #SatyanarayanKatha #SatyanarayanPuja #PujaInvitation #KathaInvitation #HomePuja #PoojaAtHome #HinduRituals #AartiTime #PrasadTime #IndianTraditions</t>
  </si>
  <si>
    <t xml:space="preserve">Sheera or panchamrit: which prasad do you look forward to most?</t>
  </si>
  <si>
    <t xml:space="preserve">Watercolour of a home puja set-up with a chowki framed by banana stems, a brass kalash, prasad, marigold garlands and a diya. Text reads 'Say when the aarti is, not just when katha starts' with a timing tip.</t>
  </si>
  <si>
    <t xml:space="preserve">EV-E17_A</t>
  </si>
  <si>
    <t xml:space="preserve">New watercolour, blog topic: satyanarayan</t>
  </si>
  <si>
    <t xml:space="preserve">Posts/085_2026-11-18_Single_E17_Satyanarayan-Katha-aarti-timing-tip</t>
  </si>
  <si>
    <t xml:space="preserve">E40</t>
  </si>
  <si>
    <t xml:space="preserve">Anniversary party invitations: 25th and 50th</t>
  </si>
  <si>
    <t xml:space="preserve">Twenty-five years? Fifty? Throw them a party.</t>
  </si>
  <si>
    <t xml:space="preserve">Fifty years deserves more than a card on the kitchen table.
Whether it's a silver 25th or a golden 50th, an anniversary party is often planned by the kids, the grandkids or a best friend who's been there since the wedding day.
Swipe for formal and warm wording for both milestones, how to word it when the children are hosting and a short checklist for the party itself.
Our favorite touch: ask every guest to bring one old photo of the couple. It turns the evening into a walk through the decades.
With Lumhe, you can upload the invite, share one link with family across the country, track RSVPs live and gather everyone's photos into a Moments album the couple keeps.
Save this for the next big anniversary in your family, and start free at lumhe.com.</t>
  </si>
  <si>
    <t xml:space="preserve">#Lumhe #AnniversaryParty #50thAnniversary #25thAnniversary #GoldenAnniversary #SilverAnniversary #AnniversaryInvitations #FamilyCelebration #MarriageMilestone #LoveStory #PartyPlanningUSA #CelebrateLove</t>
  </si>
  <si>
    <t xml:space="preserve">Which couple in your family is next to hit a big milestone?</t>
  </si>
  <si>
    <t xml:space="preserve">Watercolor carousel: an older couple slow-dancing under warm lights among marigold centerpieces, and hands holding a vintage framed wedding photo. Cover text reads: Twenty-five years? Fifty? Throw them a party.</t>
  </si>
  <si>
    <t xml:space="preserve">Plan their party</t>
  </si>
  <si>
    <t xml:space="preserve">EV-E40_A, EV-E40_B</t>
  </si>
  <si>
    <t xml:space="preserve">New watercolour, blog topic: anniversary-invitations | New watercolour, blog topic: anniversary-invitations</t>
  </si>
  <si>
    <t xml:space="preserve">Posts/086_2026-11-18_Carousel_E40_Anniversary-party-invitations-25th-and-5</t>
  </si>
  <si>
    <t xml:space="preserve">Dev Uthani tomorrow reminder reel</t>
  </si>
  <si>
    <t xml:space="preserve">Ekadashi tomorrow. Shaadi season next.</t>
  </si>
  <si>
    <t xml:space="preserve">Tomorrow, the tulsi gets married and the shaadi calendar opens.
Dev Uthani Ekadashi is tomorrow. If you're holding Tulsi Vivah in the aangan, there's still time to send the neighbours a quick invite for the evening aarti and prasad.
And if there's a wedding in your family this season, this is the week to get organised. On Lumhe, one event holds every function. Each guest sees only the ones they're invited to, you get a live headcount per function, and Digital Lifafa lets relatives send shagun by UPI straight to your UPI ID. After the pheras, guests drop their photos into one Moments album.
Forward this to the family member who's already asking about dates. Create your invite free, link in bio. 🌼</t>
  </si>
  <si>
    <t xml:space="preserve">#Lumhe #TulsiVivah2026 #DevUthaniEkadashi2026 #ShaadiSeason #WeddingSeasonIsHere #IndianWeddingInvite #EInviteIndia #FunctionWiseRSVP #ShagunOnline #DesiShaadi #Ekadashi #WeddingReelsIndia</t>
  </si>
  <si>
    <t xml:space="preserve">How many weddings are on your calendar this season? Count them below.</t>
  </si>
  <si>
    <t xml:space="preserve">Reel alternating a watercolour of a tulsi plant dressed as a bride under a sugarcane mandap with a close-up of a brass thali holding wedding envelopes, haldi and marigolds, with text reminders that Dev Uthani Ekadashi is tomorrow.</t>
  </si>
  <si>
    <t xml:space="preserve">Gentle shehnai and soft temple-bell intro that rolls into an upbeat, festive wedding dhol groove.</t>
  </si>
  <si>
    <t xml:space="preserve">Posts/087_2026-11-19_Reel_F25_Dev-Uthani-tomorrow-reminder-reel</t>
  </si>
  <si>
    <t xml:space="preserve">E41</t>
  </si>
  <si>
    <t xml:space="preserve">Wedding photo sharing: every guest photo</t>
  </si>
  <si>
    <t xml:space="preserve">First dance. Filmed from twelve angles.</t>
  </si>
  <si>
    <t xml:space="preserve">Your wedding was photographed by everyone you love.
Your photographer covers the big moments. Your guests catch the rest: the flower girl asleep under a table, your dad's dance moves, the sparkler exit from three different spots.
The problem is getting those photos back. They sit in camera rolls, get posted to Stories that disappear, or arrive months later in a compressed text thread.
Moments on Lumhe is a shared album that lives on the same link as your invitation. Guests tap upload and add photos in full quality, with no app or login needed, and the album doesn't expire.
Save this for your wedding to-do list, send it to your partner, and start your album free at lumhe.com.</t>
  </si>
  <si>
    <t xml:space="preserve">#Lumhe #WeddingPhotoSharing #WeddingPhotos #GuestPhotos #WeddingApp #FirstDance #WeddingMemoriesUSA #SharedAlbum #CandidWeddingPhotos #WeddingReel #Bride2027 #WeddingDayUSA</t>
  </si>
  <si>
    <t xml:space="preserve">Who at your wedding took the best candid photos?</t>
  </si>
  <si>
    <t xml:space="preserve">Watercolor reel of a couple's first dance in a lantern-lit barn, then an aunt wiping a happy tear holding a camera beside wedding cake and marigolds. Opening text reads: First dance. Filmed from twelve angles.</t>
  </si>
  <si>
    <t xml:space="preserve">Warm, nostalgic acoustic pop with soft strings that swells into a joyful chorus on the reveal.</t>
  </si>
  <si>
    <t xml:space="preserve">EV-E41_A, EV-E41_B</t>
  </si>
  <si>
    <t xml:space="preserve">New watercolour, blog topic: photo-sharing | New watercolour, blog topic: photo-sharing</t>
  </si>
  <si>
    <t xml:space="preserve">Posts/088_2026-11-19_Reel_E41_Wedding-photo-sharing-every-guest-photo</t>
  </si>
  <si>
    <t xml:space="preserve">S06</t>
  </si>
  <si>
    <t xml:space="preserve">Wedding season: invites after venue</t>
  </si>
  <si>
    <t xml:space="preserve">Venue booked? Your invites are next.</t>
  </si>
  <si>
    <t xml:space="preserve">Mandap booked, caterer confirmed, halwai finalised. Now the invites.
Shaadi season is in full swing, and the families who send invites early are the ones whose outstation relatives actually turn up for the Haldi.
Tell faraway family the dates two to three months ahead so they can book trains and flights before fares jump. Send the full e-invite four to six weeks out, with every function listed.
On Lumhe each guest sees only the functions they're invited to, and you get a live headcount for each one. Create yours free, link in bio. 🌼</t>
  </si>
  <si>
    <t xml:space="preserve">#Lumhe #ShaadiSeason #IndianWedding #WeddingEInvite #WeddingInvitationIndia #BigFatIndianWedding #ShaadiPlanning #DulhanDiaries #WeddingSeason2026 #DigitalInvite #DesiWedding #WeddingPlannerIndia</t>
  </si>
  <si>
    <t xml:space="preserve">How many functions are on your family's wedding list this season?</t>
  </si>
  <si>
    <t xml:space="preserve">Watercolour illustration of a grand marigold arch at a wedding venue entrance with a petal-strewn aisle. On-image text reads: Venue booked? Your invites are next.</t>
  </si>
  <si>
    <t xml:space="preserve">Create your e-invite</t>
  </si>
  <si>
    <t xml:space="preserve">IN-52</t>
  </si>
  <si>
    <t xml:space="preserve">Happy Wedding Anniversary PNG</t>
  </si>
  <si>
    <t xml:space="preserve">Posts/089_2026-11-20_Single_S06_Wedding-season-invites-after-venue</t>
  </si>
  <si>
    <t xml:space="preserve">E42</t>
  </si>
  <si>
    <t xml:space="preserve">Vinyl record wedding invitation idea</t>
  </si>
  <si>
    <t xml:space="preserve">Put your wedding on a track list</t>
  </si>
  <si>
    <t xml:space="preserve">Some couples write vows. Others write a track list.
A vinyl-record invitation turns your wedding details into songs that guests actually read: 'Track 1: Save the Date', 'Track 2: The Ceremony (4 PM)', 'Track 3: Dinner &amp; Dancing'. Side B can cover the after-party.
More unique ideas worth stealing: boarding-pass invites for destination weddings, puzzle invites guests piece together, and pressed-flower cards.
Going digital? Design the record sleeve in Canva, upload it to Lumhe as an image or video, and share one link with RSVP built in.
Which would you choose? Tell us below, and start yours at lumhe.com.</t>
  </si>
  <si>
    <t xml:space="preserve">#Lumhe #UniqueWeddingInvitations #VinylWedding #MusicLovers #CreativeInvites #WeddingIdeas2027 #QuirkyWedding #WeddingInvitationIdeasUSA #RecordLovers #CustomInvitations #WeddingDIY</t>
  </si>
  <si>
    <t xml:space="preserve">What song would be Track 1 on your wedding invite?</t>
  </si>
  <si>
    <t xml:space="preserve">Watercolor of a record player on a wooden sideboard with a vinyl half out of its sleeve, marigolds, ranunculus and two champagne glasses. Text reads: Put your wedding on a track list.</t>
  </si>
  <si>
    <t xml:space="preserve">EV-E42_A</t>
  </si>
  <si>
    <t xml:space="preserve">New watercolour, blog topic: unique-wedding</t>
  </si>
  <si>
    <t xml:space="preserve">Posts/090_2026-11-20_Single_E42_Vinyl-record-wedding-invitation-idea</t>
  </si>
  <si>
    <t xml:space="preserve">C07</t>
  </si>
  <si>
    <t xml:space="preserve">Day vs evening wedding guest etiquette</t>
  </si>
  <si>
    <t xml:space="preserve">Day guest or evening guest?</t>
  </si>
  <si>
    <t xml:space="preserve">The evening invitation is where UK wedding etiquette gets wobbly.
Evening guests aren't a B-list. They're often colleagues, wider family and friends you'd love to have all day if the venue allowed. The trick is clear wording and arrival times so nobody walks in mid-speech.
Swipe for:
• Who gets which invitation
• Evening reception wording you can borrow
• How to make evening guests feel wanted
• Keeping two sets of numbers straight for the caterer
With Lumhe, your wedding has separate functions. Each guest only sees the parts they're invited to, RSVPs are counted per function, and everyone (day and evening) adds photos to one Moments album.
Save this for when you're writing your guest list, and share it with your other half.</t>
  </si>
  <si>
    <t xml:space="preserve">#Lumhe #UKWedding #EveningWeddingGuests #EveningReception #WeddingEtiquette #WeddingInvitationsUK #BrideToBeUK #WeddingBreakfast #UKBride #Engaged2026 #WeddingPlanningUK #BarnWedding</t>
  </si>
  <si>
    <t xml:space="preserve">Did you have evening guests at your wedding? How did you word it?</t>
  </si>
  <si>
    <t xml:space="preserve">Carousel cover showing a watercolour shop window full of invitation cards, with the text 'Day guest or evening guest?'. Following slides cover UK etiquette and wording for evening wedding invitations.</t>
  </si>
  <si>
    <t xml:space="preserve">Set up your functions</t>
  </si>
  <si>
    <t xml:space="preserve">UK-32</t>
  </si>
  <si>
    <t xml:space="preserve">Wedding Invitation Wedding Invitation: Complete Guide</t>
  </si>
  <si>
    <t xml:space="preserve">Posts/091_2026-11-21_Carousel_C07_Day-vs-evening-wedding-guest-etiquette</t>
  </si>
  <si>
    <t xml:space="preserve">S01</t>
  </si>
  <si>
    <t xml:space="preserve">UK day and evening guests, one link</t>
  </si>
  <si>
    <t xml:space="preserve">Day guests see the ceremony. Evening guests see the party.</t>
  </si>
  <si>
    <t xml:space="preserve">The British two-tier guest list, minus the awkward.
Your day guests need ceremony times, the wedding breakfast and the dietary question. Your evening guests need 7.30pm, the venue and the dress code for the do.
On Lumhe you add the ceremony and the evening reception as separate functions on one event. Each guest only sees what they're invited to, and you get a separate headcount for each. No one spots a ceremony they weren't asked to.
Set yours up free. Link in bio.</t>
  </si>
  <si>
    <t xml:space="preserve">#Lumhe #UKWedding #EveningWeddingInvitations #DayGuests #WeddingBreakfast #BridesOfTheUK #UKBride #WeddingGuestList #DigitalWeddingInvites #EngagedUK #WeddingPlanningUK</t>
  </si>
  <si>
    <t xml:space="preserve">Day guest or evening guest: which do you secretly prefer being?</t>
  </si>
  <si>
    <t xml:space="preserve">Watercolour of a cork pinboard covered with photos, cards, a graduation cap and marigolds. Text reads 'Day guests see the ceremony. Evening guests see the party.'</t>
  </si>
  <si>
    <t xml:space="preserve">Split your guest list</t>
  </si>
  <si>
    <t xml:space="preserve">AB-7</t>
  </si>
  <si>
    <t xml:space="preserve">How to Send Digital Wedding Invitations in the UK — Day &amp; Evening Guest Guide</t>
  </si>
  <si>
    <t xml:space="preserve">Posts/092_2026-11-21_Single_S01_UK-day-and-evening-guests-one-link</t>
  </si>
  <si>
    <t xml:space="preserve">E18</t>
  </si>
  <si>
    <t xml:space="preserve">Griha pravesh Hindi invite line</t>
  </si>
  <si>
    <t xml:space="preserve">Naye ghar ki dehleez par aapke aashirwad ka intezaar hai.</t>
  </si>
  <si>
    <t xml:space="preserve">A house becomes a home when the right people step in first.
For your griha pravesh card or WhatsApp message, copy this:
"नए घर की दहलीज़ पर आपके आशीर्वाद का इंतज़ार है। गृह प्रवेश पूजा में सपरिवार पधारें।"
It works on a printed card for the elders and as a message for everyone else. Add the puja time and the new address below it, because nobody knows the way yet.
Upload your card to Lumhe and share one link with the map and RSVP. Link in bio.</t>
  </si>
  <si>
    <t xml:space="preserve">#Lumhe #GrihaPravesh #GrihaPraveshInvitation #Housewarming #NewHomeIndia #GrihaPraveshPuja #HindiInvitation #NayaGhar #HousewarmingInvite #RangoliDesign #ToranDecor</t>
  </si>
  <si>
    <t xml:space="preserve">Who's the first person you'd invite into your new home?</t>
  </si>
  <si>
    <t xml:space="preserve">Watercolour of a new home's doorway with a marigold toran, rangoli at the threshold, a copper kalash and hands holding an aarti plate. Text reads 'Naye ghar ki dehleez par aapke aashirwad ka intezaar hai.' with an English translation.</t>
  </si>
  <si>
    <t xml:space="preserve">Upload your card</t>
  </si>
  <si>
    <t xml:space="preserve">EV-E18_A</t>
  </si>
  <si>
    <t xml:space="preserve">New watercolour, blog topic: griha-pravesh</t>
  </si>
  <si>
    <t xml:space="preserve">Posts/093_2026-11-22_Single_E18_Griha-pravesh-Hindi-invite-line</t>
  </si>
  <si>
    <t xml:space="preserve">C23</t>
  </si>
  <si>
    <t xml:space="preserve">Wedding website include and skip list</t>
  </si>
  <si>
    <t xml:space="preserve">What to include, what to skip</t>
  </si>
  <si>
    <t xml:space="preserve">Guests open your wedding site with one question: where, and when?
A wedding website is meant to answer questions before they reach your phone. The best ones are short, clear and guest-first, and they leave out anything that causes awkward conversations.
Swipe for:
• The four must-haves
• Nice-to-haves that add personality
• What to skip (especially events not everyone is invited to)
• Simple privacy rules
If you're juggling several functions, Lumhe makes the tricky part easy. One link carries the invite and RSVP for every event, and each guest sees only the functions they're invited to. Afterwards, everyone's photos collect in one Moments album.
Save this for website-building day, and share it with your partner so you can split the work. 💌</t>
  </si>
  <si>
    <t xml:space="preserve">#Lumhe #WeddingWebsite #WeddingPlanning #WeddingChecklist #BrideToBe #GroomToBe #WeddingGuests #DestinationWedding #WeddingTips #EngagedLife #WeddingOrganization #ModernWedding</t>
  </si>
  <si>
    <t xml:space="preserve">Building a wedding website? What's the one question guests keep asking you?</t>
  </si>
  <si>
    <t xml:space="preserve">Carousel cover showing a watercolour Indian wedding welcome under a floral door arch with the text 'What to include, what to skip'; another slide shows a photographer capturing a bride's hennaed feet.</t>
  </si>
  <si>
    <t xml:space="preserve">Create your link free</t>
  </si>
  <si>
    <t xml:space="preserve">US-10, UK-72</t>
  </si>
  <si>
    <t xml:space="preserve">Best Wedding Websites: Complete Guide | Create A Wedding Website: Complete Guide</t>
  </si>
  <si>
    <t xml:space="preserve">Posts/094_2026-11-22_Carousel_C23_Wedding-website-include-and-skip-list</t>
  </si>
  <si>
    <t xml:space="preserve">E12</t>
  </si>
  <si>
    <t xml:space="preserve">Invite messages for friends and colleagues</t>
  </si>
  <si>
    <t xml:space="preserve">Invite the work gang without the awkward email</t>
  </si>
  <si>
    <t xml:space="preserve">Inviting your best friends is easy. Inviting your manager? Less so.
Your wedding guest list has layers: the friends who knew about him before your parents did, the team you see every day, and the boss who has to approve your leave. Each one needs a slightly different message.
Swipe for:
• A message for your closest friends
• A team invite that doesn't trigger reply-all chaos
• A warm, formal note for your manager
• Who gets invited to which function
Tip: never invite half a team. Either the whole team or just your close friends from it.
Save this before the guest list meeting. Then send one Lumhe link where each guest sees only their functions. Link in bio.</t>
  </si>
  <si>
    <t xml:space="preserve">#Lumhe #WeddingInvitationMessage #OfficeColleagues #WeddingInviteForFriends #FriendsWedding #ShaadiInvite #IndianWeddingEtiquette #WorkFriends #WeddingGuestList #BrideTribe #ShaadiSeason2026 #DesiBride</t>
  </si>
  <si>
    <t xml:space="preserve">Did you invite your whole team to your wedding, or just your work besties?</t>
  </si>
  <si>
    <t xml:space="preserve">Watercolour carousel: three colleagues laughing over chai in an office pantry with a marigold-trimmed sweets box, and hands passing mithai and an envelope across a desk. Slides share wedding invitation messages for friends and colleagues.</t>
  </si>
  <si>
    <t xml:space="preserve">EV-E12_A, EV-E12_B</t>
  </si>
  <si>
    <t xml:space="preserve">New watercolour, blog topic: messages-for-friends | New watercolour, blog topic: messages-for-friends</t>
  </si>
  <si>
    <t xml:space="preserve">Posts/095_2026-11-23_Carousel_E12_Invite-messages-for-friends-and-colleagu</t>
  </si>
  <si>
    <t xml:space="preserve">Gurpurab tomorrow langar reminder</t>
  </si>
  <si>
    <t xml:space="preserve">Langar for how many? Let the RSVPs decide</t>
  </si>
  <si>
    <t xml:space="preserve">Atta kneaded, dal soaked, sheets washed. Is the invite out?
Gurpurab is tomorrow. If you're hosting a path or kirtan at home, a quick final message tonight helps everyone: the start time, the address, and a gentle reminder to bring something to cover the head.
Share it as a Lumhe link. Relatives open it without an app, RSVP in a tap, and you see how many are coming before the langar prep starts.
Send it tonight. Link in bio. 🙏</t>
  </si>
  <si>
    <t xml:space="preserve">#Lumhe #GurpurabTomorrow #GuruNanakDevJi #GuruNanakJayanti2026 #LangarSeva #PathAtHome #Gurbani #SikhFestival #PunjabiFestivals #KartikPurnima #Sangat</t>
  </si>
  <si>
    <t xml:space="preserve">Hosting a path at home tomorrow? Tell us which city you're in.</t>
  </si>
  <si>
    <t xml:space="preserve">Watercolour of a white gurdwara courtyard at dusk lit with diyas and marigold garlands, with a family walking in, heads covered. Text reads: Gurpurab tomorrow. Langar for how many? Let the RSVPs decide.</t>
  </si>
  <si>
    <t xml:space="preserve">Posts/096_2026-11-23_Single_F27_Gurpurab-tomorrow-langar-reminder</t>
  </si>
  <si>
    <t xml:space="preserve">F28</t>
  </si>
  <si>
    <t xml:space="preserve">Gurpurab day greeting</t>
  </si>
  <si>
    <t xml:space="preserve">Gurpurab diyan lakh lakh vadhaiyan</t>
  </si>
  <si>
    <t xml:space="preserve">Diyas on the balcony, kirtan in the air, prasad in cupped hands.
On Guru Nanak Dev Ji's Prakash Purab, we wish you and your family peace, chardi kala and a table where everyone is welcome, just as at the langar.
Wishing someone today? Try: "May Waheguru bless your home with naam, seva and endless happiness. Gurpurab diyan lakh lakh vadhaiyan!"
Sharing today's photos with family? One Moments album on Lumhe keeps them all. 🪔</t>
  </si>
  <si>
    <t xml:space="preserve">#Lumhe #HappyGurpurab #GuruNanakJayantiWishes #PrakashPurab2026 #GurpurabWishes #WaheguruJi #ChardiKala #IkOnkar #SikhHeritage #FestivalOfLight #PunjabDiaries</t>
  </si>
  <si>
    <t xml:space="preserve">Share a line of Gurbani or a Gurpurab memory that stays with you.</t>
  </si>
  <si>
    <t xml:space="preserve">Watercolour of a home balcony at night lined with glowing diyas and marigold garlands, with a bowl of karah prasad on a white cloth under a full moon. Text reads: Guru Nanak Jayanti. Gurpurab diyan lakh lakh vadhaiyan.</t>
  </si>
  <si>
    <t xml:space="preserve">Share the moments</t>
  </si>
  <si>
    <t xml:space="preserve">DAY-GNJ_A</t>
  </si>
  <si>
    <t xml:space="preserve">Posts/097_2026-11-24_Single_F28_Gurpurab-day-greeting</t>
  </si>
  <si>
    <t xml:space="preserve">F31</t>
  </si>
  <si>
    <t xml:space="preserve">Hanukkah party planning and invite guide</t>
  </si>
  <si>
    <t xml:space="preserve">Eight nights. Pick yours to host.</t>
  </si>
  <si>
    <t xml:space="preserve">Forty-four candles, eight nights and one very busy frying pan.
Hanukkah begins at sundown on Friday, 4 December. If you're hosting a candle-lighting night, now is the moment to pick your night and send the invite.
Swipe for:
• Invite wording you can copy
• Which night to host
• A host checklist from candles to gelt
• How to get every guest's candle-lighting photo in one place
Tip: ask guests to RSVP with numbers, so you can do the latke math before you start grating potatoes. 🥔
Save this, then create your Hanukkah invite on Lumhe and share one link with family and friends. Link in bio.</t>
  </si>
  <si>
    <t xml:space="preserve">#Lumhe #Hanukkah #Hanukkah2026 #ChagSameach #Menorah #Latkes #Sufganiyot #Dreidel #FestivalOfLights #HanukkahParty #HolidayHosting #JewishHolidays</t>
  </si>
  <si>
    <t xml:space="preserve">Latkes: applesauce or sour cream? Pick a side.</t>
  </si>
  <si>
    <t xml:space="preserve">Watercolour carousel: a grandmother guiding a child's hand to light a menorah at a family table at dusk, and a close-up of latkes, sufganiyot, dreidels and gold coins. Slides share Hanukkah invite wording and a host checklist.</t>
  </si>
  <si>
    <t xml:space="preserve">PAIR-HAN_A, PAIR-HAN_B</t>
  </si>
  <si>
    <t xml:space="preserve">Posts/098_2026-11-24_Carousel_F31_Hanukkah-party-planning-and-invite-guide</t>
  </si>
  <si>
    <t xml:space="preserve">Hanukkah (begins at sundown)</t>
  </si>
  <si>
    <t xml:space="preserve">2026-12-04</t>
  </si>
  <si>
    <t xml:space="preserve">F32</t>
  </si>
  <si>
    <t xml:space="preserve">E43</t>
  </si>
  <si>
    <t xml:space="preserve">Pocket invitation suites explained</t>
  </si>
  <si>
    <t xml:space="preserve">Stack inserts largest at the back, smallest in front</t>
  </si>
  <si>
    <t xml:space="preserve">A pocket invitation is a tiny filing system that looks gorgeous.
Pocket-fold suites hold everything guests need in one piece: the main invitation on one panel, and a pocket for the extras, usually a reception card, a details card with directions or hotels, and a reply card.
The assembly rule: inserts go in largest to smallest, back to front, all facing the same way, so every card peeks out in a neat staircase.
The one thing they can't do is count replies.
Mailing a pocket suite? Upload the same design to Lumhe and share a link for RSVPs, so responses land in one live headcount.
Save this for assembly night and visit lumhe.com.</t>
  </si>
  <si>
    <t xml:space="preserve">#Lumhe #PocketInvitations #PocketFold #WeddingInvitationSuite #WeddingStationeryUSA #FormalWedding #InvitationAssembly #WeddingPaper #LuxuryWedding #WeddingDetailsMatter #StationeryDesign</t>
  </si>
  <si>
    <t xml:space="preserve">Pocket fold, flat card or fully digital: what's your pick?</t>
  </si>
  <si>
    <t xml:space="preserve">Watercolor of an open sage pocket-fold invitation with blank insert cards stepped in a staircase, a silk ribbon, wax seal and marigolds on marble. Text reads: Stack inserts largest at the back, smallest in front.</t>
  </si>
  <si>
    <t xml:space="preserve">Add RSVP online</t>
  </si>
  <si>
    <t xml:space="preserve">EV-E43_A</t>
  </si>
  <si>
    <t xml:space="preserve">New watercolour, blog topic: pocket-wedding</t>
  </si>
  <si>
    <t xml:space="preserve">Posts/099_2026-11-25_Single_E43_Pocket-invitation-suites-explained</t>
  </si>
  <si>
    <t xml:space="preserve">Friendsgiving potluck invite reel</t>
  </si>
  <si>
    <t xml:space="preserve">Four pies. Zero stuffing.</t>
  </si>
  <si>
    <t xml:space="preserve">Your Friendsgiving potluck needs a plan, not just a date.
It's this week, and the plan takes about two minutes. Put the dish categories right on your invite: mains, sides, desserts, drinks. Then split them simply, say last names A to M bring sides, N to Z bring dessert. The host covers the turkey.
Ask everyone to RSVP so you know how many chairs to borrow and how big a bird to buy. And when the night is done, everyone drops their photos into one Moments album instead of flooding the group chat.
Save this for Thursday, send it to your co-host, and make your Friendsgiving invite free at lumhe.com. 🦃</t>
  </si>
  <si>
    <t xml:space="preserve">#Lumhe #Friendsgiving #Thanksgiving2026 #FriendsgivingParty #PotluckParty #ThanksgivingDinner #HostingTips #FallGathering #DinnerPartyIdeas #ThanksgivingWithFriends #PartyInvite #GratefulTogether</t>
  </si>
  <si>
    <t xml:space="preserve">What's the one Friendsgiving dish you're always asked to bring?</t>
  </si>
  <si>
    <t xml:space="preserve">Watercolour scenes of an autumn barn with picnic tables and string lights, and a garden dinner party under string lights. Text overlays show a Friendsgiving potluck plan.</t>
  </si>
  <si>
    <t xml:space="preserve">Cozy upbeat indie-folk with acoustic guitar and hand claps, warm autumn energy, light enough to let the text land.</t>
  </si>
  <si>
    <t xml:space="preserve">Posts/100_2026-11-25_Reel_R09_Friendsgiving-potluck-invite-reel</t>
  </si>
  <si>
    <t xml:space="preserve">F30</t>
  </si>
  <si>
    <t xml:space="preserve">Thanksgiving day greeting</t>
  </si>
  <si>
    <t xml:space="preserve">Grateful for every chair we had to borrow</t>
  </si>
  <si>
    <t xml:space="preserve">The oven's been on since 6 a.m. and nobody's complaining.
Happy Thanksgiving from all of us at Lumhe. Today is for crowded kitchens, mismatched chairs, the cousin who carves and the friend who always stays to help with the dishes.
Before the pie comes out, try a quick round of "one thing I'm grateful for" at the table. It takes two minutes and people remember it for years.
When the day's done, gather everyone's photos in one Moments album on Lumhe. 🦃</t>
  </si>
  <si>
    <t xml:space="preserve">#Lumhe #HappyThanksgiving #Thanksgiving2026 #GiveThanks #ThanksgivingDinner #Gratitude #FamilyAndFriends #TurkeyDay2026 #HolidaySeason #ThankfulGratefulBlessed #ThanksgivingVibes</t>
  </si>
  <si>
    <t xml:space="preserve">What are you grateful for this year? One word is enough.</t>
  </si>
  <si>
    <t xml:space="preserve">Watercolour of a rustic Thanksgiving table with a roast turkey, pumpkin pie, cranberry sauce, small pumpkins, autumn leaves and candles, as two hands pass a dish. Text reads: Happy Thanksgiving. Grateful for every chair we had to borrow.</t>
  </si>
  <si>
    <t xml:space="preserve">Share your photos</t>
  </si>
  <si>
    <t xml:space="preserve">DAY-THX_A</t>
  </si>
  <si>
    <t xml:space="preserve">Posts/101_2026-11-26_Single_F30_Thanksgiving-day-greeting</t>
  </si>
  <si>
    <t xml:space="preserve">R05</t>
  </si>
  <si>
    <t xml:space="preserve">Kids party headcount reel UK</t>
  </si>
  <si>
    <t xml:space="preserve">How many goody bags, exactly?</t>
  </si>
  <si>
    <t xml:space="preserve">Cake for fourteen or cake for twenty? Let the replies decide.
The tricky bit of a children's party isn't the dinosaurs, it's the numbers. A few things that make parents reply faster:
• Send the invite two to three weeks before the party
• Put drop-off AND pick-up times on it, not just a start time
• Say clearly whether siblings are welcome
• Ask parents to message you about allergies when they RSVP
• Set an RSVP-by date a week ahead, so you can order the cake and goody bags
With Lumhe you share one link in the class WhatsApp group. Parents RSVP without downloading anything, you watch the headcount update live, and afterwards every parent's photos land in one Moments album.
Save this for your next party, then create your invite free via the link in bio. 🦕</t>
  </si>
  <si>
    <t xml:space="preserve">#Lumhe #KidsPartyUK #ChildrensParty #DinosaurParty #KidsBirthdayParty #PartyPlanningUK #MumLife #DadLife #GoodyBags #GardenParty #BirthdayInvites #UKParents</t>
  </si>
  <si>
    <t xml:space="preserve">Party parents: what's the most guests you've had turn up unannounced?</t>
  </si>
  <si>
    <t xml:space="preserve">Reel alternating watercolour scenes of children at a garden birthday party with cake and balloons and a dinosaur-themed party, with text about tracking kids' party RSVPs in one link.</t>
  </si>
  <si>
    <t xml:space="preserve">Bouncy, playful kids-party pop with a clap beat; light and cheerful, cuts on each scene change.</t>
  </si>
  <si>
    <t xml:space="preserve">UK-13, UK-4</t>
  </si>
  <si>
    <t xml:space="preserve">Childrens Party Invitations: Complete Guide | Evening Wedding Invitations: Wording &amp; Etiquette (UK)</t>
  </si>
  <si>
    <t xml:space="preserve">Posts/102_2026-11-26_Reel_R05_Kids-party-headcount-reel-UK</t>
  </si>
  <si>
    <t xml:space="preserve">C01</t>
  </si>
  <si>
    <t xml:space="preserve">Wedding invitation must-include checklist</t>
  </si>
  <si>
    <t xml:space="preserve">What your invitation must say</t>
  </si>
  <si>
    <t xml:space="preserve">Your guests will read the invite once and screenshot it twice.
So every essential needs to be on it, clearly. Here's the checklist we'd hand any couple before they press print or send:
• Who's hosting and who's getting married
• Date and time, written out
• Venue name and full address
• Dress code
• RSVP date and how to reply
And what to leave off: registry details. Etiquette says those belong on your wedding website or a separate insert, never the invitation itself.
Save this before you finalize your design, and send it to whoever is proofreading for you. Ready to send? Lumhe holds your invite, RSVP and photo album on one link. Link in bio.</t>
  </si>
  <si>
    <t xml:space="preserve">#Lumhe #WeddingInvitations #WeddingChecklist #WeddingStationery #WeddingEtiquette #InvitationSuite #Engaged #WeddingPlanning2027 #BrideToBe #WeddingInvitationIdeas #GroomToBe #DigitalWeddingInvitation #WeddingDetails #USWeddings</t>
  </si>
  <si>
    <t xml:space="preserve">What detail do guests always ask you about anyway? Parking? Dress code? Kids?</t>
  </si>
  <si>
    <t xml:space="preserve">Watercolour carousel: a woman in a saree writing cards at a table, and hands opening envelopes with a marigold. Slides list what every wedding invitation must include.</t>
  </si>
  <si>
    <t xml:space="preserve">Send yours free</t>
  </si>
  <si>
    <t xml:space="preserve">US-1, US-56</t>
  </si>
  <si>
    <t xml:space="preserve">What Should Be Included In A Wedding Invitation | Wedding Invitation Suites: Complete Guide</t>
  </si>
  <si>
    <t xml:space="preserve">Posts/103_2026-11-27_Carousel_C01_Wedding-invitation-must-include-checklis</t>
  </si>
  <si>
    <t xml:space="preserve">S02</t>
  </si>
  <si>
    <t xml:space="preserve">Canva invite export tip</t>
  </si>
  <si>
    <t xml:space="preserve">Designed it in Canva? Never send a screenshot.</t>
  </si>
  <si>
    <t xml:space="preserve">Your calligraphy deserves better than a blurry crop.
Screenshots shrink your design, cut off edges and pick up stray phone icons. In Canva, choose Share, then Download: PDF Standard for text-heavy cards, PNG for a single image, or MP4 if you've animated it.
Upload that file to Lumhe and you get one link for WhatsApp, text or email. Guests can RSVP to the ceremony and the evening do, with no app needed.
Save this before you hit send. Link in bio.</t>
  </si>
  <si>
    <t xml:space="preserve">#Lumhe #CanvaWedding #CanvaTips #DIYWeddingStationery #UKWeddingInspiration #WeddingInvitationsUK #DigitalWeddingInvitations #BudgetWeddingUK #WeddingStationery #BrideToBeUK #CanvaDesign</t>
  </si>
  <si>
    <t xml:space="preserve">Canva designers: what font pairing did you use for your invites? Share it below.</t>
  </si>
  <si>
    <t xml:space="preserve">Watercolour of white stationery, envelopes and a pink rose bouquet on marble. Text reads 'Designed it in Canva? Never send a screenshot.' with export advice.</t>
  </si>
  <si>
    <t xml:space="preserve">BR-15</t>
  </si>
  <si>
    <t xml:space="preserve">How to Design Your Wedding Invitations on Canva — A UK Guide to Going Digital</t>
  </si>
  <si>
    <t xml:space="preserve">Posts/104_2026-11-27_Single_S02_Canva-invite-export-tip</t>
  </si>
  <si>
    <t xml:space="preserve">E20</t>
  </si>
  <si>
    <t xml:space="preserve">Reunion invite question</t>
  </si>
  <si>
    <t xml:space="preserve">Which friend always says "Pakka aaunga" and never comes?</t>
  </si>
  <si>
    <t xml:space="preserve">Every school group has one "pakka aaunga" friend. You know who.
This year, plan the reunion properly. Pick a date over the winter break when people are home, fix a place, and send a proper invite instead of a "let's meet soon" message.
Wording to borrow: "Batch of 2012, assemble! Chai, pakoras and old stories on Sunday, 27 Dec, 5 PM. Bring the class photo."
On Lumhe, everyone RSVPs in one tap and every photo lands in one shared Moments album. Link in bio.</t>
  </si>
  <si>
    <t xml:space="preserve">#Lumhe #SchoolReunion #ReunionParty #OldFriends #GetTogether #BatchReunion #FriendsForever #WinterBreakPlans #ChaiAndPakoras #DostiGoals #ReunionInvite</t>
  </si>
  <si>
    <t xml:space="preserve">Tag your "pakka aaunga" friend. Let's see if they reply.</t>
  </si>
  <si>
    <t xml:space="preserve">Watercolour of four old friends hugging and laughing on a rooftop at sunset with chai, pakoras, string lights and marigolds. Text asks 'Which friend always says Pakka aaunga and never comes?'</t>
  </si>
  <si>
    <t xml:space="preserve">Plan the reunion</t>
  </si>
  <si>
    <t xml:space="preserve">EV-E20_A</t>
  </si>
  <si>
    <t xml:space="preserve">New watercolour, blog topic: get-together</t>
  </si>
  <si>
    <t xml:space="preserve">Posts/105_2026-11-28_Single_E20_Reunion-invite-question</t>
  </si>
  <si>
    <t xml:space="preserve">S07</t>
  </si>
  <si>
    <t xml:space="preserve">Garden ceremony shoe tip</t>
  </si>
  <si>
    <t xml:space="preserve">Ceremony on the lawn? Put shoes on the invite.</t>
  </si>
  <si>
    <t xml:space="preserve">Stilettos and lawns are not friends.
If you're saying "I do" under an arch in the garden, give guests a heads-up in the invitation details: the ground, the shoes, and a light layer for when the sun drops.
And if the weather moves the ceremony indoors, you shouldn't have to re-send anything. With Lumhe your invite, RSVP and details live on one link that you can update.
Save this for your details card. Create your invite free at lumhe.com.</t>
  </si>
  <si>
    <t xml:space="preserve">#Lumhe #GardenWedding #OutdoorWedding #WeddingTips #WeddingInvitations #WeddingGuestTips #BrideToBe2027 #WeddingPlanningTips #FloralArch #BackyardWedding #DigitalInvitations</t>
  </si>
  <si>
    <t xml:space="preserve">Garden ceremony guests: block heels, flats or barefoot? Settle it below.</t>
  </si>
  <si>
    <t xml:space="preserve">Watercolour of a bride standing under a white floral arch in a garden. Text reads 'Ceremony on the lawn? Put shoes on the invite.' with a sample line recommending block heels or flats.</t>
  </si>
  <si>
    <t xml:space="preserve">RU-10</t>
  </si>
  <si>
    <t xml:space="preserve">10 Adorable Baby Shower Invitation Templates — Free Downloads + Digital Sending</t>
  </si>
  <si>
    <t xml:space="preserve">Posts/106_2026-11-28_Single_S07_Garden-ceremony-shoe-tip</t>
  </si>
  <si>
    <t xml:space="preserve">C17</t>
  </si>
  <si>
    <t xml:space="preserve">Christening invitation wording UK</t>
  </si>
  <si>
    <t xml:space="preserve">Godparents asked? Now word the invite</t>
  </si>
  <si>
    <t xml:space="preserve">Half church service, half family party: that's a christening invite.
That makes its job slightly unusual.
Guests need to know where to be for the service, where to go afterwards, and whether the little one's godparents have already been asked (please ask them first, before their names are printed anywhere!).
Inside this carousel:
• A formal wording sample you can copy
• A relaxed version for a pub or garden lunch afterwards
• A non-religious naming day alternative
• The details grandparents will ring you about if you leave them out
Send invitations around four to six weeks before the day, a little earlier if family are travelling. 🕊️
Save this for later, and share it with a friend who's just booked the vicar. Create your christening invite free via the link in bio.</t>
  </si>
  <si>
    <t xml:space="preserve">#Lumhe #Christening #ChristeningInvitations #ChristeningUK #BaptismInvite #NamingDay #Godparents #NewBabyUK #UKMums #FamilyCelebration #ChristeningParty #BabyMilestones #MumLifeUK</t>
  </si>
  <si>
    <t xml:space="preserve">Church service plus lunch, or a relaxed naming day? Which are you planning?</t>
  </si>
  <si>
    <t xml:space="preserve">Watercolour illustration of christening invitation cards with small crosses, a pair of baby shoes and white lilies. On-image text reads: Christening invitation wording, ready to copy.</t>
  </si>
  <si>
    <t xml:space="preserve">RU-14</t>
  </si>
  <si>
    <t xml:space="preserve">8 Gorgeous Christening Invitation Templates — Free to Download &amp; Customise</t>
  </si>
  <si>
    <t xml:space="preserve">Posts/107_2026-11-29_Carousel_C17_Christening-invitation-wording-UK</t>
  </si>
  <si>
    <t xml:space="preserve">S09</t>
  </si>
  <si>
    <t xml:space="preserve">Poll: which UK template style</t>
  </si>
  <si>
    <t xml:space="preserve">English garden, country house or art deco?</t>
  </si>
  <si>
    <t xml:space="preserve">Every invitation style hints at the kind of wedding you're planning.
1. English garden: roses, foxgloves and soft script for a countryside do.
2. Country house: crests, wax seals and stately serif for the estate wedding.
3. Art deco: gold lines and geometric glamour for a London reception.
Whichever you choose, free templates are a search away on Canva. Customise yours, upload it to Lumhe and share one link with RSVPs built in.
Comment your number and tag your other half to see if you agree.</t>
  </si>
  <si>
    <t xml:space="preserve">#Lumhe #WeddingInvitationTemplates #EnglishGardenWedding #CountryHouseWedding #ArtDecoWedding #WaxSeal #UKWeddingStationery #WeddingStyle #BritishWedding #InvitationDesign #EngagedInTheUK #WeddingTemplatesUK</t>
  </si>
  <si>
    <t xml:space="preserve">We're quietly team country house, purely for the wax seals.</t>
  </si>
  <si>
    <t xml:space="preserve">Watercolour of a wedding invitation suite with a wax seal and roses. Text asks 'English garden, country house or art deco?' and invites comments.</t>
  </si>
  <si>
    <t xml:space="preserve">Pick your template</t>
  </si>
  <si>
    <t xml:space="preserve">RU-13</t>
  </si>
  <si>
    <t xml:space="preserve">10 Beautiful Wedding Invitation Templates for UK Couples — Free Downloads</t>
  </si>
  <si>
    <t xml:space="preserve">Posts/108_2026-11-29_Single_S09_Poll-which-UK-template-style</t>
  </si>
  <si>
    <t xml:space="preserve">E23</t>
  </si>
  <si>
    <t xml:space="preserve">Mother tracks RSVPs for six functions</t>
  </si>
  <si>
    <t xml:space="preserve">Six functions. One diary. A lot of phone calls.</t>
  </si>
  <si>
    <t xml:space="preserve">One person always knows exactly who's coming. Usually it's Mummy.
She tracks Haldi, Mehendi, Sangeet, the wedding, the Reception and the post-wedding puja, in a diary, from memory, and through a lot of calls to chachis and mausis.
Lumhe gives her the list without the calls. Every guest gets one link, sees only their functions, and replies in a tap. She sees a live headcount for each one.
Share this with the mother running the wedding. Create the event free, link in bio.</t>
  </si>
  <si>
    <t xml:space="preserve">#Lumhe #MotherOfTheBride #MummyKiShaadiDiary #WeddingRSVP #PerFunctionRSVP #IndianWeddingPlanning #ShaadiPrep #MehendiHaldiSangeet #WeddingHeadcount #DesiMoms #WeddingSeason</t>
  </si>
  <si>
    <t xml:space="preserve">Who's the guest-list keeper in your family: Mummy, Papa or a bua?</t>
  </si>
  <si>
    <t xml:space="preserve">Watercolour of a mother in a silk saree with reading glasses, a diary and tea, surrounded by sweet boxes and marigold garlands. Text reads 'Six functions. One diary. A lot of phone calls.' with a line on per-function RSVP.</t>
  </si>
  <si>
    <t xml:space="preserve">EV-E23_A</t>
  </si>
  <si>
    <t xml:space="preserve">New watercolour, blog topic: 6-functions</t>
  </si>
  <si>
    <t xml:space="preserve">Posts/109_2026-11-30_Single_E23_Mother-tracks-RSVPs-for-six-functions</t>
  </si>
  <si>
    <t xml:space="preserve">C26</t>
  </si>
  <si>
    <t xml:space="preserve">Make your own wedding invitations, step by step</t>
  </si>
  <si>
    <t xml:space="preserve">Make your own invitations in four steps</t>
  </si>
  <si>
    <t xml:space="preserve">DIY invites are lovely, until the venue's misspelt on every card.
The good news: DIY invitations can look every bit as considered as a stationer's suite, as long as you work in the right order: details first, design second, testing before anything goes out.
This carousel walks through it:
1. Lock every detail before you touch a brush
2. Build a palette from things you already love
3. Make one motif and reuse it everywhere
4. Test it like a guest would
Whether you paint in watercolour or design on a laptop, the finished file can be printed, sent digitally, or both.
Save this for your craft weekend, and tag the friend who'll help you proofread. ✍️ Upload your DIY design to Lumhe free (link in bio).</t>
  </si>
  <si>
    <t xml:space="preserve">#Lumhe #DIYWedding #DIYInvitations #HandmadeWedding #WatercolorInvitations #WeddingCrafts #MakeYourOwn #WeddingDIYIdeas #BrideMade #WeddingInvitationDesign #CreativeWedding #HandPainted</t>
  </si>
  <si>
    <t xml:space="preserve">Would you hand-paint your invites or design them digitally?</t>
  </si>
  <si>
    <t xml:space="preserve">Watercolour illustrations of a bride making her own invitation cards, and a desk with watercolour paints and floral cards. On-image text reads: Make your own wedding invitations in four steps.</t>
  </si>
  <si>
    <t xml:space="preserve">UK-29, US-2</t>
  </si>
  <si>
    <t xml:space="preserve">One Year Birthday Invitation: Wording &amp; Creative Ideas | Stationery Wedding Invites Complete Guide</t>
  </si>
  <si>
    <t xml:space="preserve">Posts/110_2026-11-30_Carousel_C26_Make-your-own-wedding-invitations-step-b</t>
  </si>
  <si>
    <t xml:space="preserve">R06</t>
  </si>
  <si>
    <t xml:space="preserve">Envelopes to one smart link reel</t>
  </si>
  <si>
    <t xml:space="preserve">Envelopes. Stamps. Lost RSVP cards.</t>
  </si>
  <si>
    <t xml:space="preserve">Nobody misses licking envelopes. 💌
Paper invitations are lovely to hold, but the logistics around them pile up fast: addresses, postage, reply cards that never come back and a spreadsheet you update at midnight.
Here's what the switch looks like:
• Keep your design (Canva, PDF, image or video all work)
• Add each event once: ceremony, reception, after-party
• Share one link on WhatsApp, SMS or email
• Guests reply without downloading anything
• You watch a live headcount for every event
• Later, everyone's photos collect in one Moments album
Love paper? Keep a few printed keepsakes for grandparents and send the link to everyone else.
Create your invite free at lumhe.com. Save this for when the guest list lands.</t>
  </si>
  <si>
    <t xml:space="preserve">#Lumhe #DigitalInvitations #PaperlessInvites #OnlineRSVP #EventPlanning #WeddingInvites #PartyInvites #GuestList #EcoFriendlyEvents #SmartPlanning #CelebrationPlanning #InviteDesign</t>
  </si>
  <si>
    <t xml:space="preserve">Paper, digital or both? What are you sending for your next event?</t>
  </si>
  <si>
    <t xml:space="preserve">Reel alternating a watercolour grid of pink and green envelopes with a laptop and phone showing invites beside balloons and marigolds, with text about switching from paper envelopes to one invite link.</t>
  </si>
  <si>
    <t xml:space="preserve">Make the switch</t>
  </si>
  <si>
    <t xml:space="preserve">Upbeat transformation-style trending audio with a satisfying beat drop at the switch from envelopes to screens.</t>
  </si>
  <si>
    <t xml:space="preserve">US-4, UK-11</t>
  </si>
  <si>
    <t xml:space="preserve">Wedding Shower Invitations: Wording, Etiquette &amp; Ideas (2026) | Halloween Party Invitations: Spooky Wording &amp; Ideas</t>
  </si>
  <si>
    <t xml:space="preserve">Posts/111_2026-12-01_Reel_R06_Envelopes-to-one-smart-link-reel</t>
  </si>
  <si>
    <t xml:space="preserve">S30</t>
  </si>
  <si>
    <t xml:space="preserve">Myth: digital invites can't feel luxe</t>
  </si>
  <si>
    <t xml:space="preserve">Myth: a digital invite can't feel luxe.</t>
  </si>
  <si>
    <t xml:space="preserve">High-end weddings are rarely about more. They're about less, done perfectly.
A long table, tall white florals and nothing out of place: that's the feeling your invitation can carry too. Use formal wording, one serif font, a neutral palette, and leave out clip art and confetti GIFs.
Then let the practical part be effortless. On Lumhe guests open one link, see the details and reply, with no app or login. Quiet luxury works for logistics too.
Save this for your design brief. Link in bio.</t>
  </si>
  <si>
    <t xml:space="preserve">#Lumhe #LuxuryWedding #QuietLuxury #ElegantWedding #BlackTieWedding #WeddingDesign #ModernInvitations #WeddingTablescape #LuxuryEvents #WeddingInspo #MinimalistWedding #DigitalInvites</t>
  </si>
  <si>
    <t xml:space="preserve">What makes an invitation feel expensive to you: the wording, the font or the paper?</t>
  </si>
  <si>
    <t xml:space="preserve">Watercolour of a long banquet table lined with tall white floral arrangements. Text reads 'Myth: a digital invite can't feel luxe' with a fact about restraint and formal wording.</t>
  </si>
  <si>
    <t xml:space="preserve">Design yours elegantly</t>
  </si>
  <si>
    <t xml:space="preserve">US-11</t>
  </si>
  <si>
    <t xml:space="preserve">Jeff Bezos Wedding Invite: Complete Guide</t>
  </si>
  <si>
    <t xml:space="preserve">Posts/112_2026-12-01_Single_S30_Myth-digital-invites-can-t-feel-luxe</t>
  </si>
  <si>
    <t xml:space="preserve">E13</t>
  </si>
  <si>
    <t xml:space="preserve">Marriage gift ideas for friends</t>
  </si>
  <si>
    <t xml:space="preserve">Skip the dinner set. Gift the memories.</t>
  </si>
  <si>
    <t xml:space="preserve">A dinner set for your best friend? You can do better.
When it's your ride-or-die getting married, the gift should feel like your friendship, not something that disappears into their kitchen cupboard. The good news: it doesn't have to be expensive, just personal.
Swipe for:
• Personal gifts built on your shared memories
• Experiences they'll enjoy after the wedding rush
• How to pool money with the friends' group without chaos
• Pairing a small gift with shagun
Tip: decide the group budget on one call, not in the WhatsApp group.
Save this for the next shaadi in your gang, and tag the friend who always asks "What are we gifting?" Link in bio.</t>
  </si>
  <si>
    <t xml:space="preserve">#Lumhe #MarriageGiftForFriend #WeddingGiftIdeas #GiftsForBestFriend #BestFriendWedding #PersonalisedGifts #ShaadiGifts #WeddingGiftsIndia #FriendsWedding #Shagun #GiftingIdeas #BFFGoals</t>
  </si>
  <si>
    <t xml:space="preserve">Pooling with the gang or gifting solo: what's your style?</t>
  </si>
  <si>
    <t xml:space="preserve">Watercolour carousel: two friends wrapping a large gift among marigolds, and a close-up of a handmade photo album with matching mugs. Slides share marriage gift ideas for friends.</t>
  </si>
  <si>
    <t xml:space="preserve">Start a Moments album</t>
  </si>
  <si>
    <t xml:space="preserve">EV-E13_A, EV-E13_B</t>
  </si>
  <si>
    <t xml:space="preserve">New watercolour, blog topic: Gift_Friend | New watercolour, blog topic: Gift_Friend</t>
  </si>
  <si>
    <t xml:space="preserve">Posts/113_2026-12-02_Carousel_E13_Marriage-gift-ideas-for-friends</t>
  </si>
  <si>
    <t xml:space="preserve">S10</t>
  </si>
  <si>
    <t xml:space="preserve">40th birthday invitation wording quote</t>
  </si>
  <si>
    <t xml:space="preserve">Forty, fabulous and finally organised: join us for drinks, dancing and a sensible number of candles.</t>
  </si>
  <si>
    <t xml:space="preserve">Forty deserves better than "drinks at mine, x".
Pinch the wording on the card, or try one of these:
"Forty years in the making. Saturday, 7pm, The Red Lion back room. Dress to impress, dance to embarrass."
"Help us celebrate Sam's 40th. Prosecco is chilling; RSVP by 1st March."
Always include the venue, start and finish time, dress code and an RSVP-by date. Lumhe turns any card design into one shareable link with replies counted for you.
Save this for the next big birthday, and send it to the friend who's turning 40.</t>
  </si>
  <si>
    <t xml:space="preserve">#Lumhe #40thBirthday #FortyAndFabulous #40thBirthdayParty #BirthdayInvitations #InvitationWording #PartyPlanningUK #MilestoneBirthday #UKParty #BirthdayIdeas #Stationery</t>
  </si>
  <si>
    <t xml:space="preserve">Big 40th bash or a quiet dinner? Which camp are you in?</t>
  </si>
  <si>
    <t xml:space="preserve">Watercolour flat lay of an envelope and a floral card. Text reads: Forty, fabulous and finally organised: join us for drinks, dancing and a sensible number of candles.</t>
  </si>
  <si>
    <t xml:space="preserve">UK-12</t>
  </si>
  <si>
    <t xml:space="preserve">40Th Birthday Invitations: Wording &amp; Creative Ideas</t>
  </si>
  <si>
    <t xml:space="preserve">Posts/114_2026-12-02_Single_S10_40th-birthday-invitation-wording-quote</t>
  </si>
  <si>
    <t xml:space="preserve">Hanukkah tomorrow reminder reel</t>
  </si>
  <si>
    <t xml:space="preserve">Candle one. Tomorrow. Sundown.</t>
  </si>
  <si>
    <t xml:space="preserve">Tomorrow at sundown, the first candle. Is your guest list ready?
Hanukkah begins on Friday evening, and there's still time to gather your people. A quick last-minute plan:
• Send one invite link to the family chat tonight
• Ask for a yes or no plus a headcount, so you know how many latkes to fry
• Fry ahead and crisp them in the oven when guests arrive
• Put out dreidels and gelt before the kids ask
After the candles are lit, guests can add their photos to one shared Moments album. Eight nights of glow, all in one place, in full quality.
Send this to whoever is hosting night one. Create your invite free at lumhe.com.</t>
  </si>
  <si>
    <t xml:space="preserve">#Lumhe #HanukkahTomorrow #Hanukkah #FirstNightOfHanukkah #LatkeParty #MenorahLighting #HappyHanukkah #ChanukahParty #Gelt #HolidayReels #FamilyTraditions #LastMinuteHosting</t>
  </si>
  <si>
    <t xml:space="preserve">Who in your family always wins at dreidel? Tag them.</t>
  </si>
  <si>
    <t xml:space="preserve">Watercolour reel: a family lighting a menorah together at dusk, and a table of latkes, sufganiyot, dreidels and gelt. Text counts down to the first night of Hanukkah and shows how to invite guests with one link.</t>
  </si>
  <si>
    <t xml:space="preserve">Warm, upbeat acoustic folk track with handclaps and a gentle build, cosy rather than loud.</t>
  </si>
  <si>
    <t xml:space="preserve">Posts/115_2026-12-03_Reel_F32_Hanukkah-tomorrow-reminder-reel</t>
  </si>
  <si>
    <t xml:space="preserve">R10</t>
  </si>
  <si>
    <t xml:space="preserve">December grad party and photo album</t>
  </si>
  <si>
    <t xml:space="preserve">December grads deserve a party too</t>
  </si>
  <si>
    <t xml:space="preserve">Fall semester's done. Now someone has to plan the party.
December graduates get less fanfare than the May crowd, but the walk, the cake and the proud-parent tears are all the same. Here's the low-effort way to host:
1. Upload your invite (Canva, PDF or a photo of the grad) to Lumhe.
2. Text one link to family and friends. No app or login for guests.
3. Watch RSVPs come in live, so you know how many cupcakes to order.
4. Ask everyone to add their photos to the Moments album: walk shots, dessert-table selfies, Grandma's blurry ones.
The grad ends up with one album of the whole day instead of chasing everyone's group texts. 🎓
Share this with a December grad's family. Start free at lumhe.com.</t>
  </si>
  <si>
    <t xml:space="preserve">#Lumhe #GraduationParty #DecemberGrad #GradParty #FallGraduation #ClassOf2026 #CollegeGraduation #GradPartyIdeas #ProudParents #GraduationCelebration #PartyPlanning #PhotoAlbum</t>
  </si>
  <si>
    <t xml:space="preserve">Grad parties: cake, cupcakes or a full dessert table? What's non-negotiable?</t>
  </si>
  <si>
    <t xml:space="preserve">Watercolour reel: a graduate in a gown walking through a floral arch with family behind, and a graduation dessert table with balloons. Text shows sending a party invite and collecting everyone's photos in one album.</t>
  </si>
  <si>
    <t xml:space="preserve">Start your invite</t>
  </si>
  <si>
    <t xml:space="preserve">Bright, upbeat feel-good pop with a hand-clap beat and a big lift at the photo-album reveal.</t>
  </si>
  <si>
    <t xml:space="preserve">RU-8, US-66</t>
  </si>
  <si>
    <t xml:space="preserve">8 Kitty Party Invitation Templates That Will Impress Your Group — Free &amp; Ready | Graduation Party Invitations: Wording &amp; Ideas</t>
  </si>
  <si>
    <t xml:space="preserve">Posts/116_2026-12-03_Reel_R10_December-grad-party-and-photo-album</t>
  </si>
  <si>
    <t xml:space="preserve">C02</t>
  </si>
  <si>
    <t xml:space="preserve">Wedding invitation sending timeline</t>
  </si>
  <si>
    <t xml:space="preserve">When to send everything</t>
  </si>
  <si>
    <t xml:space="preserve">Too early gets forgotten. Too late makes flights pricey.
Here's the timeline we'd give any couple, from save the date to final headcount:
📅 6–8 months: save the dates (9–12 for destination weddings)
✉️ 6–8 weeks: invitations go out
⏳ 3–4 weeks: RSVP deadline
🍽️ 2 weeks: final numbers to your caterer
If you're mailing paper, add a buffer for addressing, postage and international guests. If you're sending digitally, the timing stays the same: guests still need notice. It just arrives instantly.
Save this and set the reminders in your phone now. Lumhe tracks every RSVP in real time, so you're not tallying replies by hand. Link in bio.</t>
  </si>
  <si>
    <t xml:space="preserve">#Lumhe #WeddingTimeline #WhenToSendInvitations #WeddingInvitations #SaveTheDate #WeddingPlanningTips #RSVPDeadline #EngagedAndPlanning #2027Bride #WeddingCountdown #WeddingOrganization #DigitalRSVP #WeddingAdvice</t>
  </si>
  <si>
    <t xml:space="preserve">How many weeks out are you right now? Drop your countdown below.</t>
  </si>
  <si>
    <t xml:space="preserve">Watercolour carousel: a smiling woman holding up her invitation card, and a blank card with a wax seal on pink silk. Slides give a week-by-week timeline for sending wedding invitations.</t>
  </si>
  <si>
    <t xml:space="preserve">Track RSVPs live</t>
  </si>
  <si>
    <t xml:space="preserve">US-5, US-52</t>
  </si>
  <si>
    <t xml:space="preserve">Personalised Wedding Invitations Complete Guide | Wedding RSVP Cards: What to Include &amp; How to Track</t>
  </si>
  <si>
    <t xml:space="preserve">Posts/117_2026-12-04_Carousel_C02_Wedding-invitation-sending-timeline</t>
  </si>
  <si>
    <t xml:space="preserve">F33</t>
  </si>
  <si>
    <t xml:space="preserve">Hanukkah first night greeting</t>
  </si>
  <si>
    <t xml:space="preserve">May every window glow a little brighter tonight</t>
  </si>
  <si>
    <t xml:space="preserve">Chag Sameach from all of us at Lumhe. ✨
Tonight the first candle is lit, and windows everywhere start to glow. Here's to warm kitchens, crisp latkes, spinning dreidels and the people you gather around the menorah for all eight nights.
Whoever is lighting the shamash tonight, we hope it's the start of a bright, joyful week.
If you're hosting a night later this week, your invite link is ready whenever you are at lumhe.com.</t>
  </si>
  <si>
    <t xml:space="preserve">#Lumhe #ChagSameach #HappyHanukkah #HanukkahNight #FirstCandle #Menorah #FestivalOfLights #Hanukkah2026 #Chanukah #HolidayGreetings #EightNights</t>
  </si>
  <si>
    <t xml:space="preserve">What's on your table tonight: latkes, sufganiyot or both?</t>
  </si>
  <si>
    <t xml:space="preserve">Watercolour of a menorah on a windowsill with the shamash and first candle lit, seen from a snowy street at night, with a dreidel beside it. Text: 'May every window glow a little brighter tonight'.</t>
  </si>
  <si>
    <t xml:space="preserve">Happy Hanukkah</t>
  </si>
  <si>
    <t xml:space="preserve">DAY-HAN_A</t>
  </si>
  <si>
    <t xml:space="preserve">Posts/118_2026-12-04_Single_F33_Hanukkah-first-night-greeting</t>
  </si>
  <si>
    <t xml:space="preserve">E25</t>
  </si>
  <si>
    <t xml:space="preserve">Roka invitation Hindi line</t>
  </si>
  <si>
    <t xml:space="preserve">Do parivaar, ek rishta, aur aapka aashirwad. Roke mein zaroor padhariye.</t>
  </si>
  <si>
    <t xml:space="preserve">The roka is small. The moment two families say yes isn't.
For your WhatsApp or card invite:
"दो परिवार, एक रिश्ता, और आपका आशीर्वाद। रोके में ज़रूर पधारिए।"
Hosting a sagai instead? Swap the last line for: "Sagai ki khushi mein aap saparivaar aamantrit hain."
Keep the guest list close and the details clear: date, time, venue, and whether it's a lunch or an evening do.
Make the invite on Lumhe and see exactly who's coming. Link in bio.</t>
  </si>
  <si>
    <t xml:space="preserve">#Lumhe #Roka #RokaCeremony #Sagai #RingCeremony #EngagementInvite #RokaInvitation #PunjabiWedding #ShaadiPakki #IndianEngagement #RishtaPakka</t>
  </si>
  <si>
    <t xml:space="preserve">Roka, sagai or both in your family? Tell us how you did it.</t>
  </si>
  <si>
    <t xml:space="preserve">Watercolour of two families' hands over a decorated thali with rings, coconut, mithai and marigolds on red cloth. Text reads 'Do parivaar, ek rishta, aur aapka aashirwad. Roke mein zaroor padhariye.' with an English translation.</t>
  </si>
  <si>
    <t xml:space="preserve">EV-E25_A</t>
  </si>
  <si>
    <t xml:space="preserve">New watercolour, blog topic: sagai-roka</t>
  </si>
  <si>
    <t xml:space="preserve">Posts/119_2026-12-05_Single_E25_Roka-invitation-Hindi-line</t>
  </si>
  <si>
    <t xml:space="preserve">C19</t>
  </si>
  <si>
    <t xml:space="preserve">Children's party wording that gets replies</t>
  </si>
  <si>
    <t xml:space="preserve">Party invites parents actually answer</t>
  </si>
  <si>
    <t xml:space="preserve">Six replies out of thirty? This one's for you.
Parents aren't ignoring your invite. They're skimming it at the school gate with a toddler under one arm. The invites that get answered make replying easy and answer the questions parents would otherwise have to message you about.
Swipe for:
• Where to put the reply date (and why giving a reason helps)
• A soft play wording sample
• The four questions every parent wants answered
• A royal-themed wording sample for a party at home 👑
Save this for the next party, and share it with the parent group chat organiser. Create your children's party invite free via the link in bio.</t>
  </si>
  <si>
    <t xml:space="preserve">#Lumhe #KidsPartyUK #ChildrensParty #KidsBirthdayParty #PartyInvitations #SoftPlayParty #PrincessParty #UKParents #MumsOfInstagram #SchoolGateLife #KidsPartyIdeas #PartyBags #DadsOfInstagramUK</t>
  </si>
  <si>
    <t xml:space="preserve">Parents: what's the one detail you wish every party invite included?</t>
  </si>
  <si>
    <t xml:space="preserve">Watercolour illustrations of children in paper crowns at a garden party table, and a personalised scroll invitation with photos. On-image text reads: Party invites parents actually answer.</t>
  </si>
  <si>
    <t xml:space="preserve">Create party invite</t>
  </si>
  <si>
    <t xml:space="preserve">UK-3, UK-28</t>
  </si>
  <si>
    <t xml:space="preserve">Evening Wedding Invitations: Wording &amp; Etiquette (UK) | Childrens Birthday Invites: Complete Guide</t>
  </si>
  <si>
    <t xml:space="preserve">Posts/120_2026-12-05_Carousel_C19_Children-s-party-wording-that-gets-repli</t>
  </si>
  <si>
    <t xml:space="preserve">S11</t>
  </si>
  <si>
    <t xml:space="preserve">Upload your hand-painted invite</t>
  </si>
  <si>
    <t xml:space="preserve">Painted it yourself? Upload it as it is.</t>
  </si>
  <si>
    <t xml:space="preserve">Your watercolours deserve a better fate than a blurry WhatsApp forward.
Spent an evening painting a card for the kids' leisure-centre swim party, or a birthday that deserves a hand-made touch? Keep the design exactly as you made it.
Scan or photograph it in daylight, upload it to Lumhe, add the date, venue and what to bring (towels and goggles, in a swim party's case), then share one link by WhatsApp, text or email. Guests reply without an app, and you get the numbers in one place.
Try it free, link in bio. 🎨</t>
  </si>
  <si>
    <t xml:space="preserve">#Lumhe #HandmadeInvitations #WatercolourPainting #DIYInvitations #PoolPartyInvite #SwimParty #PartyInvitesUK #CardMaking #CraftyParents #DigitalInvites #WatercolourArt #UKMakers</t>
  </si>
  <si>
    <t xml:space="preserve">Hand-painted or template? Show us your last invite design.</t>
  </si>
  <si>
    <t xml:space="preserve">Watercolour illustration of invitation card mock-ups beside a paint palette. On-image text: 'Made it yourself' and 'Painted it yourself, upload it as it is'.</t>
  </si>
  <si>
    <t xml:space="preserve">UK-15</t>
  </si>
  <si>
    <t xml:space="preserve">Pool Party Card: Complete Guide</t>
  </si>
  <si>
    <t xml:space="preserve">Posts/121_2026-12-06_Single_S11_Upload-your-hand-painted-invite</t>
  </si>
  <si>
    <t xml:space="preserve">S31</t>
  </si>
  <si>
    <t xml:space="preserve">Honor of presence vs pleasure</t>
  </si>
  <si>
    <t xml:space="preserve">"Honor of your presence" or "pleasure of your company"?</t>
  </si>
  <si>
    <t xml:space="preserve">Two classic phrases, two different signals.
"Request the honor of your presence" is the traditional choice for a ceremony in a church, temple, synagogue or other house of worship. "Request the pleasure of your company" suits a hotel, barn, backyard or anywhere else.
Prefer modern? "Join us as we say I do" works for any venue.
Pick your line, upload your invitation to Lumhe and send it as one link. Save this for when you write your wording.</t>
  </si>
  <si>
    <t xml:space="preserve">#Lumhe #WeddingWording #InvitationWording #WeddingInvitationEtiquette #FormalWedding #WeddingStationeryTips #ChurchWedding #WeddingInspiration #EngagedAF #WeddingDetails #BrideTips</t>
  </si>
  <si>
    <t xml:space="preserve">Team honor, team pleasure or team "just come party with us"?</t>
  </si>
  <si>
    <t xml:space="preserve">Watercolour of an open book beside a vase of marigolds on a table. Text compares 'Honor of your presence' and 'pleasure of your company' wedding invitation wording.</t>
  </si>
  <si>
    <t xml:space="preserve">Write your invite</t>
  </si>
  <si>
    <t xml:space="preserve">US-14</t>
  </si>
  <si>
    <t xml:space="preserve">Wedding Invitation Wording Examples: 50+ Samples for Every Style</t>
  </si>
  <si>
    <t xml:space="preserve">Posts/122_2026-12-06_Single_S31_Honor-of-presence-vs-pleasure</t>
  </si>
  <si>
    <t xml:space="preserve">E26</t>
  </si>
  <si>
    <t xml:space="preserve">Myth: forwarding the PDF is inviting</t>
  </si>
  <si>
    <t xml:space="preserve">Myth: forwarding the card PDF is sending the invite</t>
  </si>
  <si>
    <t xml:space="preserve">Nani has the card. She just can't find the venue.
Here's what happens to a forwarded wedding PDF: it gets compressed, buried under good-morning messages, and forwarded again to people who weren't invited. The venue pin is in a separate message. Nobody knows if the Sangeet is for everyone. And you still have to call around to find out who's coming.
One Lumhe link keeps the card, map, functions and RSVP together, and guests don't need an app.
Save this for your shaadi to-do list. Link in bio.</t>
  </si>
  <si>
    <t xml:space="preserve">#Lumhe #WhatsAppInvite #DigitalWeddingCard #WeddingInvitation #ShaadiCard #WeddingMyths #WeddingRSVP #IndianWeddingPlanning #NaniApproved #ShaadiTips #GuestListSorted</t>
  </si>
  <si>
    <t xml:space="preserve">Has a wedding PDF ever reached you from someone who wasn't even invited?</t>
  </si>
  <si>
    <t xml:space="preserve">Watercolour of a grandmother on a sofa squinting at a phone, with a printed wedding card and chai beside her and a marigold garland on the door. Text reads 'Myth: forwarding the card PDF is sending the invite' with a fact line.</t>
  </si>
  <si>
    <t xml:space="preserve">Share one link</t>
  </si>
  <si>
    <t xml:space="preserve">EV-E26_A</t>
  </si>
  <si>
    <t xml:space="preserve">New watercolour, blog topic: whatsapp-wedding-invitation-problems</t>
  </si>
  <si>
    <t xml:space="preserve">Posts/123_2026-12-07_Single_E26_Myth-forwarding-the-PDF-is-inviting</t>
  </si>
  <si>
    <t xml:space="preserve">C34</t>
  </si>
  <si>
    <t xml:space="preserve">Thank-you messages after your event</t>
  </si>
  <si>
    <t xml:space="preserve">Thank-you notes people keep</t>
  </si>
  <si>
    <t xml:space="preserve">The party's over. The thank-you notes are what people remember next.
A good thank-you note doesn't need to be long. It needs to be specific. Name the gift or gesture, say what it meant, and mention something about them being there. Three lines, and the person reading it feels seen.
Inside this carousel:
• The three-line formula
• Sample notes for a gift, a cash gift and a guest who travelled
• When to send them, for parties and weddings
One extra touch that always lands: include a photo of that person from the day. 💌
Save this for the week after your celebration, and share it with someone still staring at a pile of cards. Collect everyone's photos in one album with Lumhe, link in bio.</t>
  </si>
  <si>
    <t xml:space="preserve">#Lumhe #ThankYouNotes #ThankYouCards #WeddingThankYou #GratitudeNotes #Etiquette #AfterTheParty #HandwrittenNotes #WeddingEtiquette #ThankYouMessage #GiftNotes #CelebrationMemories #Stationery</t>
  </si>
  <si>
    <t xml:space="preserve">Handwritten note or heartfelt message: how do you prefer to say thank you?</t>
  </si>
  <si>
    <t xml:space="preserve">Watercolour illustration of a hand writing a note card next to marigolds. On-image text reads: Thank-you notes people keep.</t>
  </si>
  <si>
    <t xml:space="preserve">Collect the photos</t>
  </si>
  <si>
    <t xml:space="preserve">US-49</t>
  </si>
  <si>
    <t xml:space="preserve">Wedding Gifts For Invitees: Best Ideas &amp; Guide</t>
  </si>
  <si>
    <t xml:space="preserve">Posts/124_2026-12-07_Carousel_C34_Thank-you-messages-after-your-event</t>
  </si>
  <si>
    <t xml:space="preserve">R01</t>
  </si>
  <si>
    <t xml:space="preserve">Indian wedding week in fifteen seconds</t>
  </si>
  <si>
    <t xml:space="preserve">Baraat at 7. Varmala at 9.</t>
  </si>
  <si>
    <t xml:space="preserve">Seven functions, endless "kab hai?" calls. Or one link. 😅
An Indian wedding week has a timetable that would make a railway station proud: Haldi in the morning, Mehendi by afternoon, Sangeet till late, then baraat, varmala and phere.
With Lumhe, every function sits under one event. Your college friends see the Sangeet and Reception, the khaandaan sees everything, and you see a live headcount for each, so the caterer gets real numbers.
After the petals settle, guests upload their photos to Moments. Full quality, in one album, and it doesn't vanish in 24 hours like a Story.
Share this with the cousin who's secretly running your wedding. Create your event free at lumhe.com.</t>
  </si>
  <si>
    <t xml:space="preserve">#Lumhe #IndianWedding #Baraat #Varmala #ShaadiVibes #WeddingWeek #BigFatIndianWedding #ShaadiSeason2026 #WeddingReels #DesiWeddings #HaldiMehendiSangeet #IndianWeddingPlanning</t>
  </si>
  <si>
    <t xml:space="preserve">Which function is the real highlight: Haldi, Sangeet or the baraat? Vote below.</t>
  </si>
  <si>
    <t xml:space="preserve">Watercolour reel: a wedding procession under pink drapes with family showering petals, and a varmala garland exchange surrounded by family. Text shows how one link handles RSVPs for every function.</t>
  </si>
  <si>
    <t xml:space="preserve">High-energy dhol-led Punjabi wedding beat that builds into a celebratory drop on the varmala moment.</t>
  </si>
  <si>
    <t xml:space="preserve">IN-18, IN-32</t>
  </si>
  <si>
    <t xml:space="preserve">Happy Wedding Anniversary Sister: Complete Guide | Happy Wedding Anniversary Both Of You: Complete Guide</t>
  </si>
  <si>
    <t xml:space="preserve">Posts/125_2026-12-08_Reel_R01_Indian-wedding-week-in-fifteen-seconds</t>
  </si>
  <si>
    <t xml:space="preserve">S45</t>
  </si>
  <si>
    <t xml:space="preserve">Long-distance grad party on video call</t>
  </si>
  <si>
    <t xml:space="preserve">Can't fly home? Put the party on the call</t>
  </si>
  <si>
    <t xml:space="preserve">December grad, and half the family is three time zones away?
Winter commencement deserves a party too, even if some guests join from a laptop. Send one invite with the date, the start time (list two time zones if you need to) and the video-call link next to it. Set the cake on the table, raise a glass on camera, and let the grad do a speech for the screen.
Then ask everyone to drop their screenshots and photos into one Lumhe Moments album, so the in-room and on-screen guests end up in the same keepsake.
Tag a December grad 🎓 and plan the celebration free via the link in bio.</t>
  </si>
  <si>
    <t xml:space="preserve">#Lumhe #GradParty #DecemberGrad #WinterGraduation #ClassOf2026 #VirtualParty #LongDistanceFamily #GraduationParty #CollegeGrad #Commencement #CelebrateTheGrad #FamilyTime</t>
  </si>
  <si>
    <t xml:space="preserve">Has your family ever done a toast over video call? How did it go?</t>
  </si>
  <si>
    <t xml:space="preserve">Watercolor illustration of a laptop showing a video-call party next to a celebration cake. Text reads: Can't fly home? Put the party on the call.</t>
  </si>
  <si>
    <t xml:space="preserve">Plan your grad party</t>
  </si>
  <si>
    <t xml:space="preserve">US-75</t>
  </si>
  <si>
    <t xml:space="preserve">Grad Party Invites: Complete Guide</t>
  </si>
  <si>
    <t xml:space="preserve">Posts/126_2026-12-08_Single_S45_Long-distance-grad-party-on-video-call</t>
  </si>
  <si>
    <t xml:space="preserve">E16</t>
  </si>
  <si>
    <t xml:space="preserve">Kitty party invite wording and themes</t>
  </si>
  <si>
    <t xml:space="preserve">This month, it's your turn to host</t>
  </si>
  <si>
    <t xml:space="preserve">Kitty Sunday is coming, and it's your turn to host.
A kitty party isn't a wedding, but it still deserves a proper invite. The right message sets the theme, fixes the time and stops the round of "Is it at 4 or 5?" calls.
Swipe for:
• A WhatsApp-ready invite you can copy
• Four theme ideas for the winter months
• A dress-code line that leaves no doubts
• The host checklist before the doorbell rings
Tip: remind the next month's host at the end of the party, while everyone is still there.
Save this for your turn. Then send one Lumhe link, see who's coming, and keep every group photo in a Moments album. Link in bio.</t>
  </si>
  <si>
    <t xml:space="preserve">#Lumhe #KittyParty #KittyPartyIdeas #KittyPartyThemes #KittyPartyGames #LadiesKittyParty #Tambola #KittyPartyInvitation #WinterKitty #GirlsGang #HostingAtHome #SundayFunday</t>
  </si>
  <si>
    <t xml:space="preserve">Best kitty theme your group has ever done? Drop it below.</t>
  </si>
  <si>
    <t xml:space="preserve">Watercolour carousel: four women in bright sarees laughing around a table with chai and samosas, and a close-up of a bowl of chits, cake, bangles and a brass bell. Slides share kitty party invitation wording and theme ideas.</t>
  </si>
  <si>
    <t xml:space="preserve">Send the kitty invite</t>
  </si>
  <si>
    <t xml:space="preserve">EV-E16_A, EV-E16_B</t>
  </si>
  <si>
    <t xml:space="preserve">New watercolour, blog topic: Kitty_Party | New watercolour, blog topic: Kitty_Party</t>
  </si>
  <si>
    <t xml:space="preserve">Posts/127_2026-12-09_Carousel_E16_Kitty-party-invite-wording-and-themes</t>
  </si>
  <si>
    <t xml:space="preserve">S33</t>
  </si>
  <si>
    <t xml:space="preserve">Rooftop birthday photos in Moments</t>
  </si>
  <si>
    <t xml:space="preserve">Every rooftop candid, in one album</t>
  </si>
  <si>
    <t xml:space="preserve">Your best birthday photo is probably on someone else's phone.
At every milestone party, the cake shot, the candid laugh and the sunset group photo end up scattered across a dozen camera rolls. Moments fixes that.
Add it to your Lumhe invite and guests upload straight from the same link they RSVP'd on. Full quality, all in one place, and it stays there long after the balloons deflate.
Turning 30 on a rooftop or 80 in the backyard? Create your invite free from the link in bio. 🎈</t>
  </si>
  <si>
    <t xml:space="preserve">#Lumhe #MilestoneBirthday #RooftopParty #30thBirthday #BirthdayParty #BirthdayPhotos #PartyPhotos #SharedAlbum #BirthdayGirl #CelebrateLife #PartyIdeas</t>
  </si>
  <si>
    <t xml:space="preserve">Who's always the photographer in your friend group? Tag them.</t>
  </si>
  <si>
    <t xml:space="preserve">Watercolor illustration of a woman holding a birthday cake on a rooftop surrounded by gold balloons. Text reads: Moments album, Every rooftop candid, in one album.</t>
  </si>
  <si>
    <t xml:space="preserve">US-17</t>
  </si>
  <si>
    <t xml:space="preserve">Elegant Wedding Invitations</t>
  </si>
  <si>
    <t xml:space="preserve">Posts/128_2026-12-09_Single_S33_Rooftop-birthday-photos-in-Moments</t>
  </si>
  <si>
    <t xml:space="preserve">C03</t>
  </si>
  <si>
    <t xml:space="preserve">Wedding envelope addressing cheat sheet</t>
  </si>
  <si>
    <t xml:space="preserve">Address wedding envelopes like a pro</t>
  </si>
  <si>
    <t xml:space="preserve">The envelope is the first part of your wedding anyone actually sees.
Getting names and titles right tells guests exactly who's invited, avoids awkward "can I bring my kids?" calls and shows respect from the very first glance.
Swipe for the cheat sheet:
• Married couples, same or different last names
• Unmarried partners, singles and plus-ones
• Families with children
• Doctors, judges and military titles
Quick rule of thumb: write out names in full, avoid abbreviations except Mr., Mrs., Ms. and Dr., and be consistent across every envelope.
Sending digitally? The same naming rules apply to the message. Create your invite on Lumhe and share one link with RSVP built in.
Save this before you start addressing, and send it to whoever has the best handwriting in your wedding party. ✉️</t>
  </si>
  <si>
    <t xml:space="preserve">#Lumhe #WeddingEtiquette #AddressingEnvelopes #WeddingInvitations #WeddingEnvelopes #Calligraphy #WeddingStationery #Engaged #BrideToBe2027 #WeddingPlanning #WeddingTips #InvitationSuite #USWedding</t>
  </si>
  <si>
    <t xml:space="preserve">Hardest guest to address on your list? Drop the situation and we'll help.</t>
  </si>
  <si>
    <t xml:space="preserve">Carousel cover showing a watercolor stack of addressed envelopes beside an ink pot, with the text 'Address wedding envelopes like a pro'. Following slides list etiquette for couples, families and titles.</t>
  </si>
  <si>
    <t xml:space="preserve">Send invites digitally</t>
  </si>
  <si>
    <t xml:space="preserve">US-64</t>
  </si>
  <si>
    <t xml:space="preserve">How To Address Wedding Invitations: Complete Guide</t>
  </si>
  <si>
    <t xml:space="preserve">Posts/129_2026-12-10_Carousel_C03_Wedding-envelope-addressing-cheat-sheet</t>
  </si>
  <si>
    <t xml:space="preserve">S13</t>
  </si>
  <si>
    <t xml:space="preserve">Book-bag invites vs class WhatsApp poll</t>
  </si>
  <si>
    <t xml:space="preserve">Book-bag invites or a link in the class WhatsApp?</t>
  </si>
  <si>
    <t xml:space="preserve">Every party parent has fished a crumpled invite from a book bag.
Both options have fans. Paper feels special and lands in every child's hand. A link in the class group can't get lost, and replies don't depend on someone emptying a book bag.
Whichever you pick, include: the child's name and age, date, start and pick-up time, venue, and an RSVP-by date.
Going digital? One Lumhe link carries the invite and RSVP. Link in bio. 🎈</t>
  </si>
  <si>
    <t xml:space="preserve">#Lumhe #ChildrensBirthday #KidsPartyInvites #SchoolMums #ClassParty #BirthdayInvitations #ParentingUK #KidsBirthdayIdeas #PartyParents #MumsOfInstagram #UKMums</t>
  </si>
  <si>
    <t xml:space="preserve">1 for paper, 2 for a link. Go!</t>
  </si>
  <si>
    <t xml:space="preserve">Watercolour illustration of a phone showing a birthday invitation surrounded by balloons. Text reads: Parents, we ask: Book-bag invites or a link in the class WhatsApp?</t>
  </si>
  <si>
    <t xml:space="preserve">Send a party link</t>
  </si>
  <si>
    <t xml:space="preserve">UK-22</t>
  </si>
  <si>
    <t xml:space="preserve">Children\'S Birthday Invitations: Wording &amp; Creative Ideas</t>
  </si>
  <si>
    <t xml:space="preserve">Posts/130_2026-12-10_Single_S13_Book-bag-invites-vs-class-WhatsApp-poll</t>
  </si>
  <si>
    <t xml:space="preserve">S03</t>
  </si>
  <si>
    <t xml:space="preserve">Marathi anniversary wish card</t>
  </si>
  <si>
    <t xml:space="preserve">Tumchi jodi ashich sadaiv anandi raho. Lagnachya Vadhdivsachya Hardik Shubhechha!</t>
  </si>
  <si>
    <t xml:space="preserve">For Aai-Baba, Kaka-Kaku, or any couple still holding hands.
Forward this one today.
तुमची जोडी अशीच सदैव आनंदी राहो.
लग्नाच्या वाढदिवसाच्या हार्दिक शुभेच्छा! 💐
Want to add a line? Try: "प्रेम, विश्वास आणि साथ अशीच वाढत राहो" (may your love, trust and togetherness keep growing).
Hosting an anniversary dinner for them? Make the invite on Lumhe, collect RSVPs and keep every photo in one Moments album. Link in bio.</t>
  </si>
  <si>
    <t xml:space="preserve">#Lumhe #MarathiWishes #LagnachyaVadhdivsachyaShubhechha #AnniversaryWishes #MarathiAnniversary #MaharashtrianCouple #AaiBaba #MarathiQuotes #AnniversaryCelebration #PuneDiaries #MumbaiCouples #JodiGoals</t>
  </si>
  <si>
    <t xml:space="preserve">Tag the Marathi couple whose anniversary you never forget (or always do 😄).</t>
  </si>
  <si>
    <t xml:space="preserve">Watercolour of a green keepsake tray holding a wreath card scattered with petals. Text reads the Marathi wish 'Tumchi jodi ashich sadaiv anandi raho. Lagnachya Vadhdivsachya Hardik Shubhechha!' with an English translation.</t>
  </si>
  <si>
    <t xml:space="preserve">IN-15</t>
  </si>
  <si>
    <t xml:space="preserve">Happy Wedding Anniversary In Marathi: Complete Guide</t>
  </si>
  <si>
    <t xml:space="preserve">Posts/131_2026-12-11_Single_S03_Marathi-anniversary-wish-card</t>
  </si>
  <si>
    <t xml:space="preserve">C25</t>
  </si>
  <si>
    <t xml:space="preserve">Printed vs digital, honest pros and cons</t>
  </si>
  <si>
    <t xml:space="preserve">The honest pros and cons</t>
  </si>
  <si>
    <t xml:space="preserve">Paper or link? Honestly, it depends. Here's what it depends on.
Printed invitations are tactile and lovely, and some guests will keep yours on the mantelpiece for months. They also need ordering well ahead, cost postage per guest, and turn a venue change into a reprint.
Digital invitations arrive instantly, can be updated once for everyone, and track RSVPs for you. But they can feel casual for very formal days, and a WhatsApp message is easier to miss than a card on the doormat.
Many couples now do both: a handful of printed cards for grandparents and godparents, a link for everyone else.
Which camp are you in? Tell us below, save this for when you're deciding, and see how the hybrid works at lumhe.com.</t>
  </si>
  <si>
    <t xml:space="preserve">#Lumhe #WeddingStationery #PrintedInvitations #DigitalInvitationsUK #UKWedding #WeddingPlanningUK #Letterpress #GoldFoil #BrideToBeUK #WeddingInvitesUK #Stationery #UKBride #EcoWedding</t>
  </si>
  <si>
    <t xml:space="preserve">Team paper, team link, or team both? Vote below.</t>
  </si>
  <si>
    <t xml:space="preserve">Watercolour illustrations of a wooden tray of printed cards and envelopes, and gloved hands holding a gold-foil card. Cover text reads: The honest pros and cons.</t>
  </si>
  <si>
    <t xml:space="preserve">Try the hybrid way</t>
  </si>
  <si>
    <t xml:space="preserve">UK-23, UK-44</t>
  </si>
  <si>
    <t xml:space="preserve">Print Invitations: Complete Guide | Party Invitations: Complete Guide</t>
  </si>
  <si>
    <t xml:space="preserve">Posts/132_2026-12-11_Carousel_C25_Printed-vs-digital-honest-pros-and-cons</t>
  </si>
  <si>
    <t xml:space="preserve">C33</t>
  </si>
  <si>
    <t xml:space="preserve">UK engagement party wording and design</t>
  </si>
  <si>
    <t xml:space="preserve">Engagement party invites, properly worded</t>
  </si>
  <si>
    <t xml:space="preserve">Said yes over the festive break? Next up: the party.
An engagement party invitation is your first bit of wedding stationery, and it sets expectations. Swipe for two wordings (the traditional parents-host version and a relaxed pub one), design ideas, and the etiquette rule people forget most often: only invite guests you plan to ask to the wedding.
A few more practical notes:
• Send 3–4 weeks ahead
• Make it clear whether partners are invited
• On gifts, either say "no gifts, please" or don't mention them at all
Love the look of letterpress but need replies quickly? Design it once, then upload it to Lumhe and share a single link. Guests don't need an app to reply.
Save this and tag someone who just got engaged 💍</t>
  </si>
  <si>
    <t xml:space="preserve">#Lumhe #EngagementParty #EngagedUK #JustEngaged #EngagementPartyIdeas #UKEngagement #ShesaidYes #LetterpressInvitations #WeddingStationeryUK #FestiveProposal #ChristmasEngagement #BrideToBe2027</t>
  </si>
  <si>
    <t xml:space="preserve">Traditional parents-host party or drinks at the local? Which are you planning?</t>
  </si>
  <si>
    <t xml:space="preserve">Watercolour illustration of a letterpress machine printing an invitation card. Cover text reads: Engagement party invites, properly worded.</t>
  </si>
  <si>
    <t xml:space="preserve">Send your invites</t>
  </si>
  <si>
    <t xml:space="preserve">UK-9</t>
  </si>
  <si>
    <t xml:space="preserve">Engagement Party Invitations: Wording &amp; Design Ideas</t>
  </si>
  <si>
    <t xml:space="preserve">Posts/133_2026-12-12_Carousel_C33_UK-engagement-party-wording-and-design</t>
  </si>
  <si>
    <t xml:space="preserve">S34</t>
  </si>
  <si>
    <t xml:space="preserve">Myth: digital invites feel impersonal</t>
  </si>
  <si>
    <t xml:space="preserve">Myth: digital invites feel less personal</t>
  </si>
  <si>
    <t xml:space="preserve">Paper doesn't make an invite personal. You do.
The invites guests remember are the ones that sound like the couple. A few ways to make yours feel unmistakably you:
• Open with how you met: "From a shared umbrella in Boston to forever."
• Name a detail only friends would get
• Sign off in your own voice, not stock phrasing
Then send it in a way that's easy on everyone: one Lumhe link with your design, RSVP and a shared photo album, delivered by text or email.
Create yours free. Link in bio. 🌹</t>
  </si>
  <si>
    <t xml:space="preserve">#Lumhe #DigitalWeddingInvitations #WeddingInvites #PaperlessWedding #EcoFriendlyWedding #WeddingWording #BudgetWedding #Engaged #WeddingInspo #ModernWedding #LoveStory</t>
  </si>
  <si>
    <t xml:space="preserve">Agree or disagree? Paper or digital for your big day?</t>
  </si>
  <si>
    <t xml:space="preserve">Watercolor illustration of a couple holding a blank card among roses. On-image text: 'Myth: digital invites feel less personal', with the fact that personal lives in the words.</t>
  </si>
  <si>
    <t xml:space="preserve">Write yours free</t>
  </si>
  <si>
    <t xml:space="preserve">US-18</t>
  </si>
  <si>
    <t xml:space="preserve">Wedding Invites Cheap</t>
  </si>
  <si>
    <t xml:space="preserve">Posts/134_2026-12-12_Single_S34_Myth-digital-invites-feel-impersonal</t>
  </si>
  <si>
    <t xml:space="preserve">R11</t>
  </si>
  <si>
    <t xml:space="preserve">Garden reception guest photos reel</t>
  </si>
  <si>
    <t xml:space="preserve">Every guest took photos.</t>
  </si>
  <si>
    <t xml:space="preserve">Your guests took the best reception photos. Where are they?
The professional photographer gets the portraits. Your guests get everything else: the speech that made the table cry, the sparkler exit, the moment your grandfather stole the dance floor. Those photos usually end up scattered across a hundred camera rolls.
With Lumhe Moments, the same link you sent as your invite becomes a shared album. Put it on your welcome sign or the table cards, and guests upload straight from their phones. No app, no login, and no compressed copies like you'd get through a chat.
It doesn't vanish after a day, either. It's still there on your first anniversary. 📸
Save this for your reception plan and start your Moments album free, link in bio.</t>
  </si>
  <si>
    <t xml:space="preserve">#Lumhe #GardenWedding #WeddingReception #WeddingPhotos #GuestPhotos #WeddingAlbum #OutdoorWedding #WeddingMemories #CandidMoments #ReceptionIdeas #WeddingInspo #SharedAlbum</t>
  </si>
  <si>
    <t xml:space="preserve">Which reception moment would you most want a guest's-eye photo of?</t>
  </si>
  <si>
    <t xml:space="preserve">Watercolour scenes of a garden reception with round tables and a petal path, and long candlelit tables set with glasses. Text overlays show guests sharing photos in one album.</t>
  </si>
  <si>
    <t xml:space="preserve">Dreamy golden-hour indie pop with soft synths and a gentle beat drop on the album reveal.</t>
  </si>
  <si>
    <t xml:space="preserve">US-13, US-83</t>
  </si>
  <si>
    <t xml:space="preserve">Create A Wedding Website: Complete Guide | Wedding Cards: Complete Guide</t>
  </si>
  <si>
    <t xml:space="preserve">Posts/135_2026-12-13_Reel_R11_Garden-reception-guest-photos-reel</t>
  </si>
  <si>
    <t xml:space="preserve">S14</t>
  </si>
  <si>
    <t xml:space="preserve">Garden birthday rain plan tip</t>
  </si>
  <si>
    <t xml:space="preserve">Outdoor birthday? Put the rain plan on the invite</t>
  </si>
  <si>
    <t xml:space="preserve">Every British outdoor party needs a Plan B, written down.
If your birthday is happening in the garden, the park or a picnic spot, guests will quietly wonder what happens if it pours. Answer it on the invite and nobody has to text you at 9am on the day.
Try: "If it pours, we'll move to the conservatory, same time, same cake."
On Lumhe you can update the venue line later and everyone with the link sees the change. Save this for your next garden do, and grab your invite link in bio.</t>
  </si>
  <si>
    <t xml:space="preserve">#Lumhe #GardenParty #BirthdayPartyUK #PicnicParty #BirthdayInvitations #UKParties #PartyPlanningUK #OutdoorParty #BritishWeather #HostingTips #BirthdayIdeas</t>
  </si>
  <si>
    <t xml:space="preserve">Garden party veterans: what's your best wet-weather backup?</t>
  </si>
  <si>
    <t xml:space="preserve">Watercolour illustration of a garden picnic table decorated with a ring of marigolds, with guests chatting in the background. On-image text reads: Outdoor birthday? Put the rain plan on the invite.</t>
  </si>
  <si>
    <t xml:space="preserve">UK-24</t>
  </si>
  <si>
    <t xml:space="preserve">Birthday Invitation Card: Wording &amp; Creative Ideas</t>
  </si>
  <si>
    <t xml:space="preserve">Posts/136_2026-12-13_Single_S14_Garden-birthday-rain-plan-tip</t>
  </si>
  <si>
    <t xml:space="preserve">E19</t>
  </si>
  <si>
    <t xml:space="preserve">College farewell invite by juniors</t>
  </si>
  <si>
    <t xml:space="preserve">Juniors, it's time to say goodbye properly</t>
  </si>
  <si>
    <t xml:space="preserve">Your seniors are leaving. The farewell has to be legendary.
When juniors host the farewell, the invite is the first thing seniors see, and it's often the one they screenshot. It should be part tribute, part teasing, and completely clear about the date and dress code.
Swipe for:
• An opening line with just enough drama
• A formal version for the principal and faculty
• Theme ideas your seniors will love
• The juniors' planning checklist
Tip: send the faculty invite separately and personally. Don't just add teachers to the batch group.
Save this for your farewell committee. Then share one Lumhe link with the whole batch, see who's coming, and collect every selfie in a Moments album. Link in bio.</t>
  </si>
  <si>
    <t xml:space="preserve">#Lumhe #CollegeFarewell #FarewellParty #FarewellInvitation #SeniorsFarewell #CollegeLife #BatchOf2027 #FarewellIdeas #CampusDiaries #SareeDay #JuniorsToSeniors #CollegeMemories</t>
  </si>
  <si>
    <t xml:space="preserve">What title would your batch give you at the farewell? Be honest.</t>
  </si>
  <si>
    <t xml:space="preserve">Watercolour carousel: four students in sarees and kurtas tossing marigold petals on a campus lawn at dusk beneath fairy lights. Slides share farewell invitation wording, themes and a planning checklist.</t>
  </si>
  <si>
    <t xml:space="preserve">Invite the batch</t>
  </si>
  <si>
    <t xml:space="preserve">EV-E19_A</t>
  </si>
  <si>
    <t xml:space="preserve">New watercolour, blog topic: farewell</t>
  </si>
  <si>
    <t xml:space="preserve">Posts/137_2026-12-14_Carousel_E19_College-farewell-invite-by-juniors</t>
  </si>
  <si>
    <t xml:space="preserve">S04</t>
  </si>
  <si>
    <t xml:space="preserve">Anniversary quote: favourite love story</t>
  </si>
  <si>
    <t xml:space="preserve">Your love story is our whole family's favourite book. Happy anniversary.</t>
  </si>
  <si>
    <t xml:space="preserve">For the couple whose story everyone in the family knows by heart.
The first meeting, the scooter rides and the wedding photos with the questionable moustache: every family has that one couple whose story keeps being retold.
Send this to them today. Or better, gather the family, collect old and new photos in one Lumhe Moments album and let the next chapter start there.
Share this with the couple who inspired it. 💛</t>
  </si>
  <si>
    <t xml:space="preserve">#Lumhe #AnniversaryQuotes #HappyAnniversary #SaalgirahMubarak #LoveStory #AnniversaryWishesIndia #ParentsAnniversary #CoupleGoals #IndianFamily #AnniversaryCard #FamilyLove</t>
  </si>
  <si>
    <t xml:space="preserve">Which couple in your family has the best how-we-met story? Tag them.</t>
  </si>
  <si>
    <t xml:space="preserve">Watercolour of an open book with a marigold and red cards in a flower garden. Text reads 'Your love story is our whole family's favourite book. Happy anniversary.' with 'Saalgirah mubarak ho, aap dono ko.'</t>
  </si>
  <si>
    <t xml:space="preserve">IN-16</t>
  </si>
  <si>
    <t xml:space="preserve">Wedding Anniversary Quotes: Beautiful Messages for Every Year</t>
  </si>
  <si>
    <t xml:space="preserve">Posts/138_2026-12-14_Single_S04_Anniversary-quote-favourite-love-story</t>
  </si>
  <si>
    <t xml:space="preserve">C05</t>
  </si>
  <si>
    <t xml:space="preserve">Wedding invitation costs: print vs digital</t>
  </si>
  <si>
    <t xml:space="preserve">What wedding invitations really cost</t>
  </si>
  <si>
    <t xml:space="preserve">The card itself is rarely what blows the stationery budget.
It's the extras: the inner envelope, the reply card, the stamp on the reply card, the surcharge for that gorgeous square envelope, the calligrapher. Every one of those gets multiplied by every household on your list.
Swipe for where the money really goes, what you can trim without anyone noticing, and the hybrid approach a lot of couples land on: printed suites for the people who'll frame them, a digital invite for everyone else.
The smartest budget move? Price your quote per envelope, not per guest. Couples and families share one, so your order is smaller than your headcount.
Save this for your next stationer meeting, and send it to the friend who just said "how hard can invitations be?" 💌
Create your digital invite free at lumhe.com (link in bio).</t>
  </si>
  <si>
    <t xml:space="preserve">#Lumhe #WeddingBudget #WeddingInvitations #WeddingStationery #BudgetWedding #DigitalInvitations #WeddingPlanningTips #2027Bride #EngagedLife #WeddingCosts #PaperSuite #SaveMoneyWedding</t>
  </si>
  <si>
    <t xml:space="preserve">Be honest: which line item surprised you most? Postage, reply cards or calligraphy?</t>
  </si>
  <si>
    <t xml:space="preserve">Watercolour illustration of a hand picking one card from a neat grid of wedding invitation designs. On-image text reads: What wedding invitations really cost.</t>
  </si>
  <si>
    <t xml:space="preserve">US-45</t>
  </si>
  <si>
    <t xml:space="preserve">How Much Do Wedding Invitations Cost? A Complete 2026 Budget Guide</t>
  </si>
  <si>
    <t xml:space="preserve">Posts/139_2026-12-15_Carousel_C05_Wedding-invitation-costs-print-vs-digita</t>
  </si>
  <si>
    <t xml:space="preserve">C20</t>
  </si>
  <si>
    <t xml:space="preserve">Christmas party wording for three crowds</t>
  </si>
  <si>
    <t xml:space="preserve">Christmas party wording for every guest list</t>
  </si>
  <si>
    <t xml:space="preserve">Three Christmas parties, three very different tones of voice.
The office invite needs to be festive without making HR nervous. The family one should feel like a warm kitchen. The friends' version can be as tacky as your sweater.
Swipe for wording you can copy for each, plus when to send:
• Office: 3–4 weeks out, because December calendars fill fast
• Family: 2–3 weeks, earlier if anyone's booking flights
• Friends: 2 weeks, with a friendly nudge a few days before
Whatever the crowd, include the RSVP-by date and anything guests should bring (a $25 gift for the swap, a dish, a sweater). It saves you a dozen "wait, what do I bring?" texts.
With Lumhe, you share one link by text or email and see who's coming as replies arrive.
Save this for your holiday to-do list and send yours via the link in bio. 🎄</t>
  </si>
  <si>
    <t xml:space="preserve">#Lumhe #ChristmasParty #HolidayParty #ChristmasPartyIdeas #OfficeHolidayParty #UglySweaterParty #FamilyChristmas #HolidayHosting #ChristmasInvitations #WhiteElephant #HolidaySeason #PartyInvites #ChristmasPlanning</t>
  </si>
  <si>
    <t xml:space="preserve">Which party are you hosting this year: office, family or ugly sweater?</t>
  </si>
  <si>
    <t xml:space="preserve">Watercolor illustration of a fireplace mantel with stockings and a marigold garland. Cover text reads: Christmas party wording for every guest list.</t>
  </si>
  <si>
    <t xml:space="preserve">US-12, UK-25</t>
  </si>
  <si>
    <t xml:space="preserve">Printable Party Invitations Complete Guide | Christmas &amp; Holiday Party Invitations: Wording &amp; Ideas</t>
  </si>
  <si>
    <t xml:space="preserve">Posts/140_2026-12-15_Carousel_C20_Christmas-party-wording-for-three-crowds</t>
  </si>
  <si>
    <t xml:space="preserve">Christmas</t>
  </si>
  <si>
    <t xml:space="preserve">2026-12-25</t>
  </si>
  <si>
    <t xml:space="preserve">R04</t>
  </si>
  <si>
    <t xml:space="preserve">S15</t>
  </si>
  <si>
    <t xml:space="preserve">First birthday cake poll</t>
  </si>
  <si>
    <t xml:space="preserve">Smash cake or a proper tiered one?</t>
  </si>
  <si>
    <t xml:space="preserve">The great first birthday debate, settled in the comments.
Team smash cake: a small sponge, a high chair, zero expectations and roughly forty photos of icing in eyebrows.
Team proper cake: a tiered showpiece for the grown-ups, while the guest of honour naps through the candles.
Whichever you choose, ask guests to add their photos to one shared Moments album so you catch every angle of the moment.
Vote below, and share this with a parent mid-planning. Create your first birthday invite via the link in bio.</t>
  </si>
  <si>
    <t xml:space="preserve">#Lumhe #FirstBirthday #SmashCake #FirstBirthdayParty #OneYearOld #BabysFirstBirthday #UKMumsNet #PartyPoll #BirthdayCake #ParentingUK #DessertTable</t>
  </si>
  <si>
    <t xml:space="preserve">Smash cake or proper cake? Drop a 🎂 or a 🍰.</t>
  </si>
  <si>
    <t xml:space="preserve">Watercolour illustration of a navy evening dessert table with cakes and balloons. On-image text reads: Smash cake or a proper tiered one?</t>
  </si>
  <si>
    <t xml:space="preserve">Plan the party</t>
  </si>
  <si>
    <t xml:space="preserve">UK-27</t>
  </si>
  <si>
    <t xml:space="preserve">Berry First Birthday: Complete Guide</t>
  </si>
  <si>
    <t xml:space="preserve">Posts/141_2026-12-16_Single_S15_First-birthday-cake-poll</t>
  </si>
  <si>
    <t xml:space="preserve">S37</t>
  </si>
  <si>
    <t xml:space="preserve">Party theme poll question</t>
  </si>
  <si>
    <t xml:space="preserve">Masquerade, bowling night or backyard dinner?</t>
  </si>
  <si>
    <t xml:space="preserve">Every great party starts with a theme and one good opening line.
Pick yours, then steal the opener:
🎭 Masquerade: "Behind every mask, a story. Unmask yours on Saturday at 8."
🎳 Bowling night: "Strike up the fun. Lanes are booked, shoes are rented, you're up next."
Backyard dinner: "String lights, long table, good people. Pull up a chair."
Design it on your laptop, upload to Lumhe, and share one link with RSVP. Link in bio.</t>
  </si>
  <si>
    <t xml:space="preserve">#Lumhe #PartyThemes #MasqueradeParty #BowlingParty #BackyardParty #DinnerParty #PartyInvitations #PartyHost #HostingIdeas #InviteWording #WeekendPlans</t>
  </si>
  <si>
    <t xml:space="preserve">Comment 1 for masquerade, 2 for bowling, 3 for backyard.</t>
  </si>
  <si>
    <t xml:space="preserve">Watercolor illustration of a laptop showing an invitation design next to fresh flowers. Text reads: Your next party, Masquerade, bowling night or backyard dinner?</t>
  </si>
  <si>
    <t xml:space="preserve">US-37</t>
  </si>
  <si>
    <t xml:space="preserve">Party Template Invite Guide</t>
  </si>
  <si>
    <t xml:space="preserve">Posts/142_2026-12-16_Single_S37_Party-theme-poll-question</t>
  </si>
  <si>
    <t xml:space="preserve">E24</t>
  </si>
  <si>
    <t xml:space="preserve">Paper shagun envelope vs Digital Lifafa</t>
  </si>
  <si>
    <t xml:space="preserve">Paper lifafa or Digital Lifafa?</t>
  </si>
  <si>
    <t xml:space="preserve">The shagun envelope isn't going anywhere. But it's got company now.
Handing over a lifafa with a blessing is one of the sweetest moments at any Indian wedding. But some relatives can't travel, some guests never carry cash, and someone in the family always ends up counting envelopes at 1 a.m.
Swipe for:
• Where the paper lifafa still wins
• The problem nobody talks about after the reception
• How Digital Lifafa works
• Why most families will use both
Digital Lifafa sends shagun by UPI straight to the host's UPI ID. Lumhe never touches the money.
Save this, and share it with the family member who always keeps the shagun notebook. Link in bio.</t>
  </si>
  <si>
    <t xml:space="preserve">#Lumhe #DigitalLifafa #Shagun #ShagunEnvelope #Lifafa #UPIShagun #WeddingGiftsIndia #CashlessShagun #IndianWeddingTraditions #ShaadiSeason #ShagunKaLifafa #ModernIndianWedding</t>
  </si>
  <si>
    <t xml:space="preserve">Team paper lifafa, team UPI, or both? Vote below.</t>
  </si>
  <si>
    <t xml:space="preserve">Watercolour carousel: hennaed hands holding a red-and-gold shagun envelope with a coin above a brass thali of roli, rice and marigolds. Slides compare paper shagun envelopes with Lumhe's Digital Lifafa.</t>
  </si>
  <si>
    <t xml:space="preserve">EV-E24_A</t>
  </si>
  <si>
    <t xml:space="preserve">New watercolour, blog topic: paper-shagun</t>
  </si>
  <si>
    <t xml:space="preserve">Posts/143_2026-12-17_Carousel_E24_Paper-shagun-envelope-vs-Digital-Lifafa</t>
  </si>
  <si>
    <t xml:space="preserve">S08</t>
  </si>
  <si>
    <t xml:space="preserve">Griha pravesh puja invite feature</t>
  </si>
  <si>
    <t xml:space="preserve">Muhurat, puja timings and the new address in one link.</t>
  </si>
  <si>
    <t xml:space="preserve">New ghar, new address, and nobody has it saved yet.
For a griha pravesh, guests need three things: the muhurat for the puja, the exact address (with a landmark, because the society gate is always confusing) and whether to stay for bhojan.
Put it all on one Lumhe link. Add the puja and the lunch as separate functions, so your neighbours can come for the aarti and family can stay for the meal, and you know how many to cook for.
Save this for your house-warming. Create your invite free, link in bio. 🪔</t>
  </si>
  <si>
    <t xml:space="preserve">#Lumhe #GrihaPravesh #Housewarming #NewHome #GrihaPraveshPuja #Kalash #PujaInvitation #NewBeginnings #GharKiPuja #IndianTraditions #HousewarmingInvite #DigitalInvitationIndia</t>
  </si>
  <si>
    <t xml:space="preserve">What's your must-do griha pravesh ritual: boiling milk, the kalash or the first aarti?</t>
  </si>
  <si>
    <t xml:space="preserve">Watercolour of an empty marigold-decorated mandap with a kalash at the centre. Text reads 'Muhurat, puja timings and the new address in one link.'</t>
  </si>
  <si>
    <t xml:space="preserve">Create the puja invite</t>
  </si>
  <si>
    <t xml:space="preserve">RU-11</t>
  </si>
  <si>
    <t xml:space="preserve">10 Best Graduation Party Invitation Templates — Free, Customizable &amp; Ready</t>
  </si>
  <si>
    <t xml:space="preserve">Posts/144_2026-12-17_Single_S08_Griha-pravesh-puja-invite-feature</t>
  </si>
  <si>
    <t xml:space="preserve">R07</t>
  </si>
  <si>
    <t xml:space="preserve">Pre-wedding shoot to wedding day reel</t>
  </si>
  <si>
    <t xml:space="preserve">From mustard fields to mandap</t>
  </si>
  <si>
    <t xml:space="preserve">Your pre-wedding shoot photos deserve a bigger job than a profile picture.
That mustard-field frame with the dupatta mid-flight? It's your save-the-date. Just the photo, your names, the dates and the city. Send it early so the family can start booking leave.
A few weeks later, the same link becomes your full invite: Haldi, Mehendi, Sangeet, pheras, reception. Every guest sees only the functions they're invited to, and you see the RSVPs function by function.
Then on the day, everyone uploads their photos to one Moments album, so the candids from your cousins don't get lost in fifty WhatsApp chats.
One love story, one link, from "save the date" to "just married". ❤️
Save this for your shoot day, and create your link free at lumhe.com.</t>
  </si>
  <si>
    <t xml:space="preserve">#Lumhe #PreWeddingShoot #SaveTheDate #PreWedding #IndianWeddingInspo #CoupleGoals #WeddingReels #ShaadiVibes #LoveStory #WeddingEInvite #BrideAndGroom #WeddingJourney #DulhaDulhan</t>
  </si>
  <si>
    <t xml:space="preserve">Mustard fields or sunflowers: where would your pre-wedding shoot be?</t>
  </si>
  <si>
    <t xml:space="preserve">Watercolour scenes of a couple in a sunset mustard field with a red dupatta flying, and a bride and groom in a sunflower field. Text overlays trace the journey from save-the-date to wedding day.</t>
  </si>
  <si>
    <t xml:space="preserve">Start your love story</t>
  </si>
  <si>
    <t xml:space="preserve">Soft romantic acoustic track with a gentle Indian-fusion build, flute or sitar melody swelling into a celebratory beat for the final scenes.</t>
  </si>
  <si>
    <t xml:space="preserve">IN-8, UK-49</t>
  </si>
  <si>
    <t xml:space="preserve">Hashtag For Pre Wedding: Best Ideas for Social Media | Cards And Invitations: Complete Guide</t>
  </si>
  <si>
    <t xml:space="preserve">Posts/145_2026-12-18_Reel_R07_Pre-wedding-shoot-to-wedding-day-reel</t>
  </si>
  <si>
    <t xml:space="preserve">S22</t>
  </si>
  <si>
    <t xml:space="preserve">Announce a summer 60th at Christmas</t>
  </si>
  <si>
    <t xml:space="preserve">Announce the garden party while everyone's home for Christmas</t>
  </si>
  <si>
    <t xml:space="preserve">Flamingo floats in December? Hear us out.
If a big 60th is coming next summer, Christmas is the perfect moment to announce it. The family is together, diaries for the new year are wide open, and the aunts who book holidays in January can pencil you in first.
A simple plan:
• Now: a save-the-date with the month and "garden party, details to follow"
• Spring: the full invite, dress code (swimwear optional) and RSVP-by date
• Two weeks before: a reminder with parking and timings
Save this for the big-birthday planner in your family, and start the save-the-date free at lumhe.com.</t>
  </si>
  <si>
    <t xml:space="preserve">#Lumhe #60thBirthday #SixtyAndFabulous #GardenParty #PoolParty #SaveTheDate #BirthdayPlanningUK #MilestoneBirthdayUK #SummerParty #UKFamily #ChristmasPlans</t>
  </si>
  <si>
    <t xml:space="preserve">What's the dream 60th: garden party, pool party or a long lunch?</t>
  </si>
  <si>
    <t xml:space="preserve">Watercolour illustration of a garden pool party with flamingo floats. Text reads: Announce the garden party while everyone's home for Christmas.</t>
  </si>
  <si>
    <t xml:space="preserve">Start your save-the-date</t>
  </si>
  <si>
    <t xml:space="preserve">UK-5</t>
  </si>
  <si>
    <t xml:space="preserve">Sixty Birthday Party: Complete Guide</t>
  </si>
  <si>
    <t xml:space="preserve">Posts/146_2026-12-18_Single_S22_Announce-a-summer-60th-at-Christmas</t>
  </si>
  <si>
    <t xml:space="preserve">C16</t>
  </si>
  <si>
    <t xml:space="preserve">Baby shower and sip-and-see wording</t>
  </si>
  <si>
    <t xml:space="preserve">Shower wording, plus the sip &amp; see</t>
  </si>
  <si>
    <t xml:space="preserve">Before baby arrives it's a shower. After, it's a sip and see.
Both deserve an invite that's warm, clear and easy to answer, because the parents-to-be (or brand-new parents) have zero bandwidth for chasing replies.
In this carousel:
• Classic baby shower wording
• Sip-and-see wording for meeting the new arrival
• Etiquette notes: who hosts, where registry info goes, when to send
• Why online RSVP is a gift to tired parents
A quick rule for the sip and see: keep it short and relaxed. New parents will thank you for a two-hour window. 🍼
Save this for the shower you're hosting, share it with the co-host, and create your invite free at lumhe.com.</t>
  </si>
  <si>
    <t xml:space="preserve">#Lumhe #BabyShower #SipAndSee #BabyShowerInvitations #BabyShowerIdeas #NewMom #MomToBe #BabyShowerWording #MeetTheBaby #OnlineRSVP #ShowerHost #BabyCelebration</t>
  </si>
  <si>
    <t xml:space="preserve">Baby shower, sip and see, or both? What would you host?</t>
  </si>
  <si>
    <t xml:space="preserve">Watercolour illustration of a mother holding her baby in a garden. On-image text reads: Baby shower wording, plus the sip and see.</t>
  </si>
  <si>
    <t xml:space="preserve">US-82</t>
  </si>
  <si>
    <t xml:space="preserve">Printable Party Invitations: Complete Guide</t>
  </si>
  <si>
    <t xml:space="preserve">Posts/147_2026-12-19_Carousel_C16_Baby-shower-and-sip-and-see-wording</t>
  </si>
  <si>
    <t xml:space="preserve">S38</t>
  </si>
  <si>
    <t xml:space="preserve">RSVP speed poll</t>
  </si>
  <si>
    <t xml:space="preserve">Be honest: how fast do you RSVP?</t>
  </si>
  <si>
    <t xml:space="preserve">Confession time, guests.
Hosts plan food, tables and favours around your answer, so the speed of your RSVP matters more than you'd think. Most of us mean to reply… and then the invite gets buried under 40 other messages.
Drop your letter in the comments: A, B, C or D. No judgement (well, a little for D).
Hosting soon? Lumhe sends guests one link with a one-tap RSVP, with no app and no login, so replying takes about five seconds.</t>
  </si>
  <si>
    <t xml:space="preserve">#Lumhe #RSVP #GuestLife #PartyHost #HostingProblems #EventPlanning #WeddingGuest #PollTime #Relatable #InvitationTips #PartyPlanning</t>
  </si>
  <si>
    <t xml:space="preserve">We'll go first: C. Every. Single. Time. 🙈</t>
  </si>
  <si>
    <t xml:space="preserve">Watercolor illustration of a laptop on a garden table beside flowers. On-image text reads: Be honest: how fast do you RSVP? A) Same day B) Within a week C) Night before the deadline D) What deadline?</t>
  </si>
  <si>
    <t xml:space="preserve">US-41</t>
  </si>
  <si>
    <t xml:space="preserve">What Is A RSVP On An Invitation</t>
  </si>
  <si>
    <t xml:space="preserve">Posts/148_2026-12-19_Single_S38_RSVP-speed-poll</t>
  </si>
  <si>
    <t xml:space="preserve">C08</t>
  </si>
  <si>
    <t xml:space="preserve">Hindu wedding card matter, Hindi and English</t>
  </si>
  <si>
    <t xml:space="preserve">Shaadi card wording, ready to copy</t>
  </si>
  <si>
    <t xml:space="preserve">Copy-paste card matter, checked line by line, for your Hindu wedding card.
The hardest part of the shaadi card is rarely the design. It's the words: which shloka goes on top, whether it's Chi. or Sau. Ka., and how many chacha-chachis fit under Darshanabhilashi.
Swipe for:
• The opening invocation
• A Hindi amantran line you can adapt
• English wording for a daughter's wedding
• The closing lines most families use, including bal manuhar
Tip: keep the Hindi and English versions in the same order, so elders and younger guests read the same details.
Save this for when the family WhatsApp group starts editing your draft. Then upload the final card to Lumhe and share one link for every function. Link in bio.</t>
  </si>
  <si>
    <t xml:space="preserve">#Lumhe #WeddingCardMatter #HinduWedding #ShaadiCard #IndianWeddingInvitation #HindiWedding #WeddingCardWording #ShubhVivah #ShaadiSeason #DigitalWeddingCard #IndianBride #WeddingInviteIndia #DesiWedding</t>
  </si>
  <si>
    <t xml:space="preserve">Which line does your family never skip on the card? Shloka, kuldevi or bal manuhar?</t>
  </si>
  <si>
    <t xml:space="preserve">Watercolour carousel: three couples in garlands and lehengas in a flower field, and a blank ornate card beside a brass bell and marigolds. Slides give Hindi and English wedding card wording.</t>
  </si>
  <si>
    <t xml:space="preserve">Upload your card free</t>
  </si>
  <si>
    <t xml:space="preserve">IN-24, IN-4</t>
  </si>
  <si>
    <t xml:space="preserve">Hindu Wedding Card Matter In Hindi: Complete Guide | Hindu Wedding Card Matter In English For Daughter: Complete Guide</t>
  </si>
  <si>
    <t xml:space="preserve">Posts/149_2026-12-20_Carousel_C08_Hindu-wedding-card-matter-Hindi-and-Engl</t>
  </si>
  <si>
    <t xml:space="preserve">S16</t>
  </si>
  <si>
    <t xml:space="preserve">Hybrid invites: paper for Nan, link for all</t>
  </si>
  <si>
    <t xml:space="preserve">Printed for Nan, a link for everyone else</t>
  </si>
  <si>
    <t xml:space="preserve">You don't have to pick paper OR digital.
The kindest invite plan for a family party is often both. Print a handful of cards for grandparents and great-aunts who love something on the mantelpiece, and pop the RSVP link (or a QR code) on the back.
Everyone else gets the same design as a link on WhatsApp or text. One guest list, one set of replies, no spreadsheet.
Upload the card you designed to Lumhe, share the link, and print a few copies of the same file for the post.
Save this for your next family do. Link in bio.</t>
  </si>
  <si>
    <t xml:space="preserve">#Lumhe #FamilyPartyUK #InvitationIdeas #HybridInvites #PartyPlanningUK #Grandparents #OnlineInvitations #PrintAndDigital #HostingTips #UKFamilies #QRCodeInvite</t>
  </si>
  <si>
    <t xml:space="preserve">Who on your list still needs a paper invite? 💌</t>
  </si>
  <si>
    <t xml:space="preserve">Watercolour illustration of hands using a tablet beside a stack of paper invitation cards. On-image text reads: Printed for Nan, a link for everyone else.</t>
  </si>
  <si>
    <t xml:space="preserve">UK-33</t>
  </si>
  <si>
    <t xml:space="preserve">Birthday Invites: Complete Guide</t>
  </si>
  <si>
    <t xml:space="preserve">Posts/150_2026-12-20_Single_S16_Hybrid-invites-paper-for-Nan-link-for-al</t>
  </si>
  <si>
    <t xml:space="preserve">F35</t>
  </si>
  <si>
    <t xml:space="preserve">New Year's Eve party plan and invite</t>
  </si>
  <si>
    <t xml:space="preserve">Ten days to your best countdown</t>
  </si>
  <si>
    <t xml:space="preserve">Ten days out is the sweet spot for NYE invites.
Send it now and people plan around you. Send it on the 30th and you're competing with every other party in town.
Swipe for:
• Invite wording for three kinds of nights
• A midnight kit checklist
• Smart extras guests appreciate
• How to collect every countdown photo
Tip: put an end time or "last ride home" note on the invite. Guests love knowing the plan for getting home.
Save this, then create your invite on Lumhe, share one link and watch your RSVP count build before the countdown does. Link in bio.</t>
  </si>
  <si>
    <t xml:space="preserve">#Lumhe #NYE2026 #NewYearsEveParty #NYEParty #PartyPlanning #NewYearsEve #HostingTips #CountdownParty #PartyInvitations #HouseParty #CelebrateTogether #HolidayHosting</t>
  </si>
  <si>
    <t xml:space="preserve">Big party, small dinner or in bed by 12:01? Be honest.</t>
  </si>
  <si>
    <t xml:space="preserve">Watercolour carousel: a backyard party under string lights, and a couple toasting at a garden party. Slides share New Year's Eve invite wording and a host checklist.</t>
  </si>
  <si>
    <t xml:space="preserve">US-8, US-58</t>
  </si>
  <si>
    <t xml:space="preserve">Print Invitations Complete Guide | Punch Bowl Invites: Complete Guide</t>
  </si>
  <si>
    <t xml:space="preserve">Posts/151_2026-12-21_Carousel_F35_New-Year-s-Eve-party-plan-and-invite</t>
  </si>
  <si>
    <t xml:space="preserve">New Year's Eve</t>
  </si>
  <si>
    <t xml:space="preserve">2026-12-31</t>
  </si>
  <si>
    <t xml:space="preserve">R15</t>
  </si>
  <si>
    <t xml:space="preserve">S39</t>
  </si>
  <si>
    <t xml:space="preserve">Wedding invitation font pairing rule</t>
  </si>
  <si>
    <t xml:space="preserve">One script font. One serif. That's the rule.</t>
  </si>
  <si>
    <t xml:space="preserve">Fonts do more for "expensive-looking" than heavy card stock ever will.
The easiest pairing rule: one script, one serif. Use the script for your names, the moment you want to feel romantic. Use a clean serif for the date, time and venue, the parts people actually need to read.
Two scripts on one card is where invitations start looking busy (and where Grandma squints at the time).
Save this before you open your design app, then upload the finished card to Lumhe and share it in one link. Link in bio.</t>
  </si>
  <si>
    <t xml:space="preserve">#Lumhe #WeddingFonts #InvitationDesign #WeddingInvitationIdeas #Typography #DIYBride #WeddingDesign #CalligraphyFonts #WeddingStationeryDesign #EngagedAndPlanning #BrideToBe2027</t>
  </si>
  <si>
    <t xml:space="preserve">Script, serif or sans serif: what's your invitation font of choice?</t>
  </si>
  <si>
    <t xml:space="preserve">Watercolour illustration of picture frames, ribbons and stationery tools on a desk. On-image text reads: One script font. One serif. That's the rule.</t>
  </si>
  <si>
    <t xml:space="preserve">US-42</t>
  </si>
  <si>
    <t xml:space="preserve">Wedding Invitation Cost Guide: Design, Fonts, and Etiquette Tips</t>
  </si>
  <si>
    <t xml:space="preserve">Posts/152_2026-12-21_Single_S39_Wedding-invitation-font-pairing-rule</t>
  </si>
  <si>
    <t xml:space="preserve">C21</t>
  </si>
  <si>
    <t xml:space="preserve">Housewarming wording and etiquette</t>
  </si>
  <si>
    <t xml:space="preserve">Housewarming invites, minus the awkwardness</t>
  </si>
  <si>
    <t xml:space="preserve">You have the keys. Now you need the people.
A housewarming is the most relaxed party you'll ever host, but the invite still has a few jobs: tell people when to come, where to park, and what (if anything) to bring.
Swipe for two ready-to-use versions, a sit-down afternoon and a drop-in open house, plus the etiquette people quietly wonder about:
• Is it OK to say no gifts? Yes.
• Should a registry go on the invite? Skip it.
• Do I invite the neighbors? Ideally, or at least warn them about the cars.
Small tip: put the gate code or buzzer number right on the invite. Nobody wants to stand outside on the phone.
Lumhe keeps the address, RSVPs and everyone's photos in one link, and guests don't need an app.
Save this for move-in week and create your housewarming invite free via the link in bio. 🏡</t>
  </si>
  <si>
    <t xml:space="preserve">#Lumhe #Housewarming #HousewarmingParty #NewHomeOwner #FirstHome #OpenHouseParty #NewHomeVibes #HomeSweetHome #PartyEtiquette #HousewarmingIdeas #JustMovedIn #InvitationWording</t>
  </si>
  <si>
    <t xml:space="preserve">Best housewarming gift you've ever received or given? Plants count.</t>
  </si>
  <si>
    <t xml:space="preserve">Watercolor illustration of a family arriving at a house door decorated with garlands. Cover text reads: Housewarming invites, minus the awkwardness.</t>
  </si>
  <si>
    <t xml:space="preserve">US-68</t>
  </si>
  <si>
    <t xml:space="preserve">Evite Invitations: Review, Features &amp; Alternatives</t>
  </si>
  <si>
    <t xml:space="preserve">Posts/153_2026-12-22_Carousel_C21_Housewarming-wording-and-etiquette</t>
  </si>
  <si>
    <t xml:space="preserve">S17</t>
  </si>
  <si>
    <t xml:space="preserve">Five blanks every birthday invite needs</t>
  </si>
  <si>
    <t xml:space="preserve">Five blanks every birthday invite must fill</t>
  </si>
  <si>
    <t xml:space="preserve">Pretty template, empty boxes. Here's what goes in them.
1. Whose birthday, and which one (a milestone deserves a mention)
2. Date, start and finish time
3. Full address, plus parking or nearest station
4. Dress code or theme
5. A reply-by date
Miss one and your phone will tell you about it, usually the night before.
Once your template's filled in, upload it to Lumhe and share it as one link with replies collected for you. Save this checklist and grab yours via the link in bio.</t>
  </si>
  <si>
    <t xml:space="preserve">#Lumhe #BirthdayInvitations #InvitationTemplate #BirthdayChecklist #PartyPlanningUK #BirthdayCard #MilestoneBirthday #UKHosting #PartyInvites #PlanningTips #BirthdayParty</t>
  </si>
  <si>
    <t xml:space="preserve">Which detail do your guests always ask about after the invite goes out?</t>
  </si>
  <si>
    <t xml:space="preserve">Watercolour illustration of a grid of blank invitation template frames. On-image text reads: Five blanks every birthday invite must fill.</t>
  </si>
  <si>
    <t xml:space="preserve">Fill in your invite</t>
  </si>
  <si>
    <t xml:space="preserve">UK-35</t>
  </si>
  <si>
    <t xml:space="preserve">Birthday Invitation Cards: Wording &amp; Creative Ideas</t>
  </si>
  <si>
    <t xml:space="preserve">Posts/154_2026-12-22_Single_S17_Five-blanks-every-birthday-invite-needs</t>
  </si>
  <si>
    <t xml:space="preserve">C09</t>
  </si>
  <si>
    <t xml:space="preserve">Anniversary wishes by milestone year</t>
  </si>
  <si>
    <t xml:space="preserve">A wish for every milestone</t>
  </si>
  <si>
    <t xml:space="preserve">Not every anniversary wish should sound the same.
A first anniversary text can tease the newlyweds about the AC remote. A 30th deserves something they'll keep in a drawer. The year changes the tone, and the traditional symbols help: paper for the first, silver at 25, pearl at 30, ruby at 40 and gold at 50.
Swipe for a ready wish for each milestone, plus little touches like old photos and grandchildren reading aloud that make them land.
Save this so you're never caught writing "HAPPY ANNIVERSARY 🎉" at 11.58pm again. Hosting a milestone dinner for Mummy-Papa? Lumhe handles the invite, the RSVPs and the family photo album. Link in bio.</t>
  </si>
  <si>
    <t xml:space="preserve">#Lumhe #AnniversaryWishes #SilverJubilee #PearlAnniversary #GoldenJubilee #30thAnniversary #25thAnniversary #ParentsAnniversary #AnniversaryCelebration #IndianFamilies #AnniversaryMessage #MilestoneAnniversary</t>
  </si>
  <si>
    <t xml:space="preserve">Which milestone is coming up in your family? First, 25th, 30th or 50th?</t>
  </si>
  <si>
    <t xml:space="preserve">Watercolour carousel: a wife in a saree reading a card to her husband among marigolds, and an older man writing an anniversary card beside a framed photo. Slides give anniversary wishes for each milestone year.</t>
  </si>
  <si>
    <t xml:space="preserve">Plan the celebration</t>
  </si>
  <si>
    <t xml:space="preserve">IN-2, IN-38</t>
  </si>
  <si>
    <t xml:space="preserve">Happy 30Th Wedding Anniversary: Complete Guide | Wedding Anniversary Images Download: Complete Guide</t>
  </si>
  <si>
    <t xml:space="preserve">Posts/155_2026-12-23_Carousel_C09_Anniversary-wishes-by-milestone-year</t>
  </si>
  <si>
    <t xml:space="preserve">S40</t>
  </si>
  <si>
    <t xml:space="preserve">Free invitation builder feature spotlight</t>
  </si>
  <si>
    <t xml:space="preserve">Design your invite here, or bring your own</t>
  </si>
  <si>
    <t xml:space="preserve">Got a design already? Bring it. No design yet? Make one.
Whether it's your wedding, a vow renewal or the first party at your new front door, Lumhe takes the invite you've already made in Canva, a PDF, a photo or even a video, and turns it into one shareable link.
Guests open it on any phone with no app and no login, and they RSVP right there. You watch the headcount update live.
Share this with someone who's mid-design, and try it free via the link in bio.</t>
  </si>
  <si>
    <t xml:space="preserve">#Lumhe #FreeInvitations #InvitationMaker #DigitalInvitations #CanvaInvitations #OnlineInvitations #EventPlanningTips #VowRenewal #PartyPlanning #RSVPOnline #EInvite</t>
  </si>
  <si>
    <t xml:space="preserve">Are you a design-it-yourself host or a pick-a-template host?</t>
  </si>
  <si>
    <t xml:space="preserve">Watercolour illustration of a couple standing under a doorway arch covered in flowers. On-image text reads: Design your invite here, or bring your own.</t>
  </si>
  <si>
    <t xml:space="preserve">Start for free</t>
  </si>
  <si>
    <t xml:space="preserve">US-44</t>
  </si>
  <si>
    <t xml:space="preserve">Free Invitation Builder</t>
  </si>
  <si>
    <t xml:space="preserve">Posts/156_2026-12-23_Single_S40_Free-invitation-builder-feature-spotligh</t>
  </si>
  <si>
    <t xml:space="preserve">Christmas at home with one family album</t>
  </si>
  <si>
    <t xml:space="preserve">Christmas at our place this year?</t>
  </si>
  <si>
    <t xml:space="preserve">Two days to go, and the family group chat is chaos.
Hosting Christmas at home is the best kind of busy, until you're counting chairs from forty scattered texts. A quick fix for this year:
• Send one invite with the time, address and parking notes
• Ask guests to say what they're bringing when they reply
• Share one photo album so nobody has to chase pictures in January
On Lumhe, family RSVPs from a single link with no app or login, and every photo from every phone goes into one Moments album. It doesn't expire and it isn't compressed, so the gift-opening shots stay sharp for years.
Tag the cousin who always takes the best photos 🎄 and set up your holiday link free via the link in bio.</t>
  </si>
  <si>
    <t xml:space="preserve">#Lumhe #ChristmasAtHome #FamilyChristmas #HolidayHosting #ChristmasEve #ChristmasMemories #FamilyPhotos #HolidayGathering #ChristmasDinner #CozyChristmas #ChristmasMorning #HostingTheHolidays</t>
  </si>
  <si>
    <t xml:space="preserve">Which family member is always in charge of photos at yours?</t>
  </si>
  <si>
    <t xml:space="preserve">Watercolor scenes of a family opening gifts by a Christmas tree and a fireplace beside a decorated tree. Opening text reads: Christmas at our place this year?</t>
  </si>
  <si>
    <t xml:space="preserve">Host the holidays</t>
  </si>
  <si>
    <t xml:space="preserve">Cozy acoustic holiday instrumental with sleigh bells and soft piano, warm and nostalgic rather than upbeat.</t>
  </si>
  <si>
    <t xml:space="preserve">US-43, US-69</t>
  </si>
  <si>
    <t xml:space="preserve">The Complete Guide to Christmas Party Invitations: Wording, Design, and Digital Solutions | Wedding Invites Cheap: Complete Guide</t>
  </si>
  <si>
    <t xml:space="preserve">Posts/157_2026-12-24_Reel_R04_Christmas-at-home-with-one-family-album</t>
  </si>
  <si>
    <t xml:space="preserve">S47</t>
  </si>
  <si>
    <t xml:space="preserve">Christmas Eve greeting for the newly engaged</t>
  </si>
  <si>
    <t xml:space="preserve">To everyone saying yes by candlelight tonight</t>
  </si>
  <si>
    <t xml:space="preserve">If there's a ring hidden in someone's stocking tonight, we're cheering.
The holidays are a favourite time to get engaged, which means a lot of people will wake up on the 26th wondering where to start. Our advice: give it a few days. Enjoy the calls to family, the happy tears and the leftover pie.
When you're ready, pick a free template or upload your own design, and share your save-the-date as one link.
Merry Christmas Eve from all of us at Lumhe. Got engaged this season? Tell us in the comments so we can celebrate with you ✨</t>
  </si>
  <si>
    <t xml:space="preserve">#Lumhe #ChristmasEve #MerryChristmas #HolidayEngagement #ChristmasProposal #JustEngaged #SheSaidYes #Engaged2026 #SaveTheDate #FreeInvitationTemplates #WeddingPlanningBegins</t>
  </si>
  <si>
    <t xml:space="preserve">Holiday proposals: romantic or too much pressure? Tell us your take.</t>
  </si>
  <si>
    <t xml:space="preserve">Watercolor illustration of a tablet showing a couple's invitation, surrounded by candles and marigolds. Text reads: To everyone saying yes by candlelight tonight.</t>
  </si>
  <si>
    <t xml:space="preserve">Browse free templates</t>
  </si>
  <si>
    <t xml:space="preserve">US-79</t>
  </si>
  <si>
    <t xml:space="preserve">Free Invitation Templates: Complete Guide</t>
  </si>
  <si>
    <t xml:space="preserve">Posts/158_2026-12-24_Single_S47_Christmas-Eve-greeting-for-the-newly-eng</t>
  </si>
  <si>
    <t xml:space="preserve">F34</t>
  </si>
  <si>
    <t xml:space="preserve">Christmas Day greeting</t>
  </si>
  <si>
    <t xml:space="preserve">Wishing you warm hearts and second helpings</t>
  </si>
  <si>
    <t xml:space="preserve">Merry Christmas from all of us at Lumhe. 🎄
To the ones who woke up early for the roast, the ones on dish duty, the ones who travelled far to be at the table, and the ones calling in from another time zone: we hope today is full of good food, loud laughter and someone else doing the washing up.
Take a photo of the table before everyone digs in. You'll want it later.
With love, and an extra cracker for the road.</t>
  </si>
  <si>
    <t xml:space="preserve">#Lumhe #MerryChristmas #ChristmasDay #Christmas2026 #ChristmasDinner #FestiveTable #ChristmasWithFamily #SeasonsGreetings #HolidayCheer #ChristmasGreetings #ChristmasFeast</t>
  </si>
  <si>
    <t xml:space="preserve">What's the one dish your Christmas table can't do without?</t>
  </si>
  <si>
    <t xml:space="preserve">Watercolour of a Christmas table set for a family meal with crackers, candles, a pine wreath centrepiece and a roast, by a window with a small decorated tree. Text: 'Wishing you warm hearts and second helpings'.</t>
  </si>
  <si>
    <t xml:space="preserve">Merry Christmas</t>
  </si>
  <si>
    <t xml:space="preserve">DAY-XMS_A</t>
  </si>
  <si>
    <t xml:space="preserve">Posts/159_2026-12-25_Single_F34_Christmas-Day-greeting</t>
  </si>
  <si>
    <t xml:space="preserve">R13</t>
  </si>
  <si>
    <t xml:space="preserve">Surprise 40th and 50th that never leaked</t>
  </si>
  <si>
    <t xml:space="preserve">The surprise party that didn't leak</t>
  </si>
  <si>
    <t xml:space="preserve">The hardest part of a surprise party is the group chat.
One person replies in the wrong thread, or the birthday star picks up a phone at the wrong moment, and months of planning are gone. For a big 40th or 50th, keep it tight:
• Send the invite privately, never in a shared family group
• Put "It's a SURPRISE" in the first line, in capitals
• Give guests an arrival time 15–30 minutes before the reveal
• Name a decoy plan, like "dinner with Sam", so everyone tells the same story
With Lumhe, guests reply to you alone, see any timing change straight away, and add their photos to one shared Moments album after the big moment.
Tag your co-conspirator 🤫 and plan the secret invite free via the link in bio.</t>
  </si>
  <si>
    <t xml:space="preserve">#Lumhe #SurpriseParty #40thBirthday #50thBirthday #MilestoneBirthday #SurpriseBirthday #BirthdayPartyIdeas #Fabulous40 #Fifty #PartyPlanning #BirthdaySurprise #CelebrateLife</t>
  </si>
  <si>
    <t xml:space="preserve">Have you ever accidentally spoiled a surprise party? Confess below 🙈</t>
  </si>
  <si>
    <t xml:space="preserve">Watercolour scenes of a woman blowing out 40th birthday candles with friends in a garden, and friends celebrating a 50th with gold balloons. Opening text reads: The surprise party that didn't leak.</t>
  </si>
  <si>
    <t xml:space="preserve">Plan the surprise</t>
  </si>
  <si>
    <t xml:space="preserve">Playful tiptoe-sneaky instrumental that builds into a big upbeat drop at the surprise reveal; party-pop energy.</t>
  </si>
  <si>
    <t xml:space="preserve">UK-2, US-22</t>
  </si>
  <si>
    <t xml:space="preserve">Evening Wedding Invitations: Wording &amp; Etiquette (UK) | Online Wedding Invitation Platform</t>
  </si>
  <si>
    <t xml:space="preserve">Posts/160_2026-12-25_Reel_R13_Surprise-40th-and-50th-that-never-leaked</t>
  </si>
  <si>
    <t xml:space="preserve">C22</t>
  </si>
  <si>
    <t xml:space="preserve">Retirement party invitation wording</t>
  </si>
  <si>
    <t xml:space="preserve">After decades of work, the best invite yet</t>
  </si>
  <si>
    <t xml:space="preserve">Thirty years of 7 AM alarms deserves more than sheet cake.
A retirement invitation sets the tone: is this a formal send-off for the whole department, a loud family dinner, or a candlelit toast at the end of the year? Swipe for wording for each, ready to copy.
The detail people love most: ask guests to bring a favorite memory, a written note or an old photo. Those become the best part of the evening, and the part the retiree rereads later.
Also worth it: invite former colleagues, not just the current team. The people who trained them often want to be there most.
With Lumhe, you share one link, see who's coming, and collect every guest's photos in one Moments album as a gift that lasts.
Save this and create the invite free via the link in bio. 🥂</t>
  </si>
  <si>
    <t xml:space="preserve">#Lumhe #RetirementParty #HappyRetirement #RetirementCelebration #RetirementGoals #OfficeParty #NextChapter #PartyInvitations #InvitationWording #WorkAnniversary #YearEndParty #CelebrateMilestones</t>
  </si>
  <si>
    <t xml:space="preserve">What's the best retirement send-off you've been to? Tell us the detail that made it.</t>
  </si>
  <si>
    <t xml:space="preserve">Watercolor illustration of a wreath and candles on a garden table. Cover text reads: After decades of work, the best invite yet.</t>
  </si>
  <si>
    <t xml:space="preserve">US-30</t>
  </si>
  <si>
    <t xml:space="preserve">Retirement Party Invitations Wording Ideas</t>
  </si>
  <si>
    <t xml:space="preserve">Posts/161_2026-12-26_Carousel_C22_Retirement-party-invitation-wording</t>
  </si>
  <si>
    <t xml:space="preserve">S18</t>
  </si>
  <si>
    <t xml:space="preserve">Printed invite with digital replies</t>
  </si>
  <si>
    <t xml:space="preserve">Keep the envelope. Lose the reply chase.</t>
  </si>
  <si>
    <t xml:space="preserve">Some invitations deserve an envelope a child can tear open.
Printed party invites still have a magic that a message can't fully match, especially for little ones. The trouble is the replies: scribbled notes in book bags, texts from numbers you don't recognise.
The fix: print your card as usual, and add a short line at the bottom with your Lumhe link for RSVPs. Parents reply in a tap, and you get one tidy list.
Save this for your next party, and find the link in bio.</t>
  </si>
  <si>
    <t xml:space="preserve">#Lumhe #PrintedInvitations #KidsPartyInvites #InvitationPrinting #PaperAndDigital #BirthdayInvitesUK #PartyPlanningUK #RSVP #HappyPost #UKKidsParty #SnailMailLove</t>
  </si>
  <si>
    <t xml:space="preserve">Book-bag replies or text replies: which is more chaotic?</t>
  </si>
  <si>
    <t xml:space="preserve">Watercolour illustration of a hand opening a children's party envelope beside a scatter of crayons. On-image text reads: Keep the envelope. Lose the reply chase.</t>
  </si>
  <si>
    <t xml:space="preserve">Add online RSVP</t>
  </si>
  <si>
    <t xml:space="preserve">UK-38</t>
  </si>
  <si>
    <t xml:space="preserve">Invitation Print: Complete Guide</t>
  </si>
  <si>
    <t xml:space="preserve">Posts/162_2026-12-26_Single_S18_Printed-invite-with-digital-replies</t>
  </si>
  <si>
    <t xml:space="preserve">S19</t>
  </si>
  <si>
    <t xml:space="preserve">Birthday invites delivered to every door</t>
  </si>
  <si>
    <t xml:space="preserve">Every guest's doorstep, one tap away</t>
  </si>
  <si>
    <t xml:space="preserve">Hand-delivering invites is lovely until you reach house number fourteen.
For a birthday, the online version does the walking for you: one link to every guest at once, whether they live next door or in Edinburgh. Upload your own design or a Canva favourite, add the date, time and address, and send it on WhatsApp, text or email.
Guests open it without downloading an app or logging in, reply in a tap, and you watch the headcount build. Handy when you're ordering the cake and sorting the party bags.
Tag the friend who still hand-delivers everything 🎈 and create your birthday invite free via the link in bio.</t>
  </si>
  <si>
    <t xml:space="preserve">#Lumhe #BirthdayInvites #BirthdayPartyUK #OnlineInvitations #PartyPlanningUK #UKMums #BirthdayPlanning #DigitalInvites #UKParties #CelebrateUK #PartyHost</t>
  </si>
  <si>
    <t xml:space="preserve">Honestly: have you ever hand-delivered party invites down your street?</t>
  </si>
  <si>
    <t xml:space="preserve">Watercolour illustration of a hand delivering an envelope at a front door. Text reads: Every guest's doorstep, one tap away.</t>
  </si>
  <si>
    <t xml:space="preserve">UK-42</t>
  </si>
  <si>
    <t xml:space="preserve">Birthday Online Invite: Complete Guide</t>
  </si>
  <si>
    <t xml:space="preserve">Posts/163_2026-12-27_Single_S19_Birthday-invites-delivered-to-every-door</t>
  </si>
  <si>
    <t xml:space="preserve">S42</t>
  </si>
  <si>
    <t xml:space="preserve">How to word no-gifts and registry lines</t>
  </si>
  <si>
    <t xml:space="preserve">How to say no gifts politely</t>
  </si>
  <si>
    <t xml:space="preserve">The gift line is the trickiest sentence on any invite.
A few ways to say it gracefully:
• No gifts: "Your presence is the only present we need."
• Charity: "In lieu of gifts, a donation to [cause] would mean a lot."
• Book swap: "Bring a wrapped book you love, and leave with a new one."
• Registry (showers only): "Sam is registered at [store]."
Keep registry details off wedding invitations and put them on your wedding website or event page instead.
With Lumhe, gift notes sit on the event page, not on the card. Save this for the next invite you write.</t>
  </si>
  <si>
    <t xml:space="preserve">#Lumhe #GiftEtiquette #NoGiftsPlease #PartyEtiquette #InvitationWording #HostingTips #HolidayParty #BirthdayPartyIdeas #RegistryTips #EventPlanning #Etiquette101</t>
  </si>
  <si>
    <t xml:space="preserve">Team 'no gifts' or team 'registry'? Tell us below.</t>
  </si>
  <si>
    <t xml:space="preserve">Watercolor illustration of a wrapped gift box with a bow surrounded by balloons. On-image text reads: How to say no gifts politely.</t>
  </si>
  <si>
    <t xml:space="preserve">US-67</t>
  </si>
  <si>
    <t xml:space="preserve">Grad Party Invites Templates: Complete Guide</t>
  </si>
  <si>
    <t xml:space="preserve">Posts/164_2026-12-27_Single_S42_How-to-word-no-gifts-and-registry-lines</t>
  </si>
  <si>
    <t xml:space="preserve">C10</t>
  </si>
  <si>
    <t xml:space="preserve">Anniversary wishes for siblings and couples</t>
  </si>
  <si>
    <t xml:space="preserve">For didi, bhaiya and your favourite couples</t>
  </si>
  <si>
    <t xml:space="preserve">Your didi's anniversary deserves more than a thumbs-up emoji.
Sibling anniversaries are tricky: too mushy and they'll tease you for years, too short and Mummy will ask why you didn't call. This carousel has wishes for:
• Didi and jiju
• Bhaiya and bhabhi
• The couple friends who feel like family
Plus small touches that make your message stand out: the timing, the throwback photo and the voice note in your own language.
If you're planning a surprise get-together for them, create one Lumhe link for the invite and RSVP, collect everyone's photos in Moments, and let relatives who can't travel send shagun through Digital Lifafa, straight to the host's UPI ID.
Save this for the next anniversary in the family, and tag the sibling whose anniversary is coming up next. 💐</t>
  </si>
  <si>
    <t xml:space="preserve">#Lumhe #HappyAnniversary #AnniversaryWishes #DidiJiju #BhaiyaBhabhi #ShaadiKiSaalgirah #SiblingLove #IndianFamily #AnniversaryMessages #DesiFamily #CoupleGoals #FamilyCelebrations #DigitalLifafa</t>
  </si>
  <si>
    <t xml:space="preserve">Whose anniversary is next in your family? Tag them below.</t>
  </si>
  <si>
    <t xml:space="preserve">Carousel of anniversary wishes. The cover shows a watercolour of two sisters in bridal lehengas sitting among petals with the text 'For didi, bhaiya and your favourite couples'; another slide shows two brothers in kurtas wearing garlands.</t>
  </si>
  <si>
    <t xml:space="preserve">IN-3, IN-34</t>
  </si>
  <si>
    <t xml:space="preserve">Happy Wedding Anniversary To Us: Complete Guide | Wish You Happy Wedding Anniversary: Complete Guide</t>
  </si>
  <si>
    <t xml:space="preserve">Posts/165_2026-12-28_Carousel_C10_Anniversary-wishes-for-siblings-and-coup</t>
  </si>
  <si>
    <t xml:space="preserve">S43</t>
  </si>
  <si>
    <t xml:space="preserve">Cake or invite: what guests remember</t>
  </si>
  <si>
    <t xml:space="preserve">Which detail do guests remember: the cake or invite?</t>
  </si>
  <si>
    <t xml:space="preserve">Four tiers of buttercream, or the first thing your guests ever see?
Our take: the cake gets photographed for ten seconds. The invitation gets opened, screenshotted, checked for the address and reopened on the morning of the wedding to confirm what time the ceremony starts.
That's why its details matter: names spelled right, a clear RSVP-by date, and separate info for the rehearsal dinner and the reception if not everyone is invited to both.
With Lumhe, each guest sees only the events they're invited to, and you get a live headcount for each one.
Cake or invite: which do you remember from the last wedding you went to? Tell us below, then start your invite free at lumhe.com.</t>
  </si>
  <si>
    <t xml:space="preserve">#Lumhe #WeddingCake #WeddingInvitations #WeddingDetails #WeddingPlanning2027 #BrideToBe2027 #WeddingInspo #DigitalWeddingInvite #RehearsalDinner #WeddingGuests #USWeddings #EngagedLife</t>
  </si>
  <si>
    <t xml:space="preserve">Our vote: the invite gets reopened more. But a marigold-topped cake is hard to beat.</t>
  </si>
  <si>
    <t xml:space="preserve">Watercolor illustration of a tiered white wedding cake decorated with marigolds on a cream background. Text reads: Which detail do guests remember: the cake or invite?</t>
  </si>
  <si>
    <t xml:space="preserve">US-71</t>
  </si>
  <si>
    <t xml:space="preserve">The Knot Wedding Invitations: Complete Guide</t>
  </si>
  <si>
    <t xml:space="preserve">Posts/166_2026-12-28_Single_S43_Cake-or-invite-what-guests-remember</t>
  </si>
  <si>
    <t xml:space="preserve">C27</t>
  </si>
  <si>
    <t xml:space="preserve">Bridal shower wording and template styles</t>
  </si>
  <si>
    <t xml:space="preserve">Bubbles, brunch and the bride-to-be</t>
  </si>
  <si>
    <t xml:space="preserve">Hosting the shower? Here's every line you need, already written.
Whether you're the maid of honor, a sister or the bride's mom, the invitation sets the tone. Swipe for four template styles, copy-ready wording for classic, brunch and surprise showers, and the etiquette that keeps everyone happy.
The two rules hosts forget most:
• Only invite guests who are also invited to the wedding
• Registry info belongs on the shower invite, not the wedding invitation
Once your design is ready, upload it to Lumhe and text one link to the group. RSVPs come back live, and afterward everyone can drop photos into one shared Moments album for the bride to keep.
Save this for later and send it to your co-host 💐 Start free at the link in bio.</t>
  </si>
  <si>
    <t xml:space="preserve">#Lumhe #BridalShower #BridalShowerInvitations #BridalShowerIdeas #BrunchShower #MaidOfHonor #BrideToBe #ShowerInvite #BridalShowerDecor #WeddingSeason2027 #BridesmaidDuties #InvitationWording #EngagedLife</t>
  </si>
  <si>
    <t xml:space="preserve">Garden party, brunch or surprise: which shower style are you hosting?</t>
  </si>
  <si>
    <t xml:space="preserve">Watercolour illustration of friends gathered around a glowing tablet at a night-time table. Text reads: Shower invite wording, ready to paste.</t>
  </si>
  <si>
    <t xml:space="preserve">Send shower invites</t>
  </si>
  <si>
    <t xml:space="preserve">RU-12, US-91</t>
  </si>
  <si>
    <t xml:space="preserve">8 Elegant Bridal Shower Invitation Templates — Free Downloads + Digital Sending | Bezos Wedding Invite: Complete Guide</t>
  </si>
  <si>
    <t xml:space="preserve">Posts/167_2026-12-29_Carousel_C27_Bridal-shower-wording-and-template-style</t>
  </si>
  <si>
    <t xml:space="preserve">S20</t>
  </si>
  <si>
    <t xml:space="preserve">Casual e-invite opener to steal</t>
  </si>
  <si>
    <t xml:space="preserve">Kettle's on, cake's ordered and we'd love you there. Come and celebrate with us.</t>
  </si>
  <si>
    <t xml:space="preserve">The hardest part of any invitation is the blank card.
So here's a first line you can borrow for your next e-invite, whether it's a birthday tea, a christening lunch or a low-key Sunday do. Follow it with the essentials: date, time, address, dress code if there is one, and a clear RSVP-by date.
With an e-invite you can send it on WhatsApp, text or email in one go, change the details later if plans shift, and see replies as they come in.
Got a favourite opening line of your own? Share it in the comments ☕ and create your e-invite free at lumhe.com.</t>
  </si>
  <si>
    <t xml:space="preserve">#Lumhe #EInviteUK #InvitationWording #UKCelebrations #ChristeningUK #BirthdayTea #SundayLunch #HostingUK #DigitalInvites #PartyWording #CelebrateWithUs</t>
  </si>
  <si>
    <t xml:space="preserve">Finish this invite line: "Bring your appetite and..."</t>
  </si>
  <si>
    <t xml:space="preserve">Watercolour illustration of a blank card next to a cup of coffee on a table. Text reads: Kettle's on, cake's ordered and we'd love you there. Come and celebrate with us.</t>
  </si>
  <si>
    <t xml:space="preserve">Write your e-invite</t>
  </si>
  <si>
    <t xml:space="preserve">UK-43</t>
  </si>
  <si>
    <t xml:space="preserve">Einvite: Complete Guide</t>
  </si>
  <si>
    <t xml:space="preserve">Posts/168_2026-12-29_Single_S20_Casual-e-invite-opener-to-steal</t>
  </si>
  <si>
    <t xml:space="preserve">R08</t>
  </si>
  <si>
    <t xml:space="preserve">Girls' gang haldi and mehendi RSVPs</t>
  </si>
  <si>
    <t xml:space="preserve">Ladies only. Haldi starts at 10.</t>
  </si>
  <si>
    <t xml:space="preserve">Haath peele karne ka waqt aa gaya! Ladies, assemble.
Haldi and mehendi are often ladies-only, while the wedding list is far longer. Sending one common card to everyone means awkward calls ("Bhabhi, are men allowed at mehendi?") and a mehendi artist count that's pure guesswork.
How to keep it simple:
• Make haldi and mehendi separate functions
• Invite only the women and girls to them
• Add timing, dress colour (yellow for haldi, green for mehendi is a favourite) and what to bring
• Check the live headcount before you book artists and order the haldi paste
On Lumhe, each guest sees only the functions they're invited to. The girls get the haldi link, Chachaji gets the reception.
Tag your haldi squad and create your function-wise invite free via the link in bio. 💛</t>
  </si>
  <si>
    <t xml:space="preserve">#Lumhe #HaldiCeremony #MehendiNight #GirlsGang #BrideSquad #HaldiVibes #MehendiFunction #IndianBride #ShaadiDiaries #WeddingFunctions #LadiesSangeet #DulhanKiSaheliyan #ShaadiSeason2026</t>
  </si>
  <si>
    <t xml:space="preserve">Who's the cousin who always turns up late to haldi? Tag them 😄</t>
  </si>
  <si>
    <t xml:space="preserve">Watercolour scenes of women in red laughing around a haldi and mehendi table, and four women in lehengas dancing. Opening text reads: Ladies only. Haldi starts at 10.</t>
  </si>
  <si>
    <t xml:space="preserve">Upbeat dhol-heavy Punjabi wedding track with playful female vocals and a clap-along beat; trending girls' gang energy.</t>
  </si>
  <si>
    <t xml:space="preserve">IN-23, UK-52</t>
  </si>
  <si>
    <t xml:space="preserve">Wedding Day Wishes Images: Heartfelt Messages &amp; Quotes | Wedding Invitations UK: Best Options &amp; Ideas</t>
  </si>
  <si>
    <t xml:space="preserve">Posts/169_2026-12-30_Reel_R08_Girls-gang-haldi-and-mehendi-RSVPs</t>
  </si>
  <si>
    <t xml:space="preserve">NYE party invite with countdown RSVPs</t>
  </si>
  <si>
    <t xml:space="preserve">Party's tomorrow. Guest list? Vibes.</t>
  </si>
  <si>
    <t xml:space="preserve">Hosting on the 31st and still counting guests on your fingers?
A last-minute New Year's Eve party is completely doable. The trick is getting replies fast enough to plan food, drinks and chairs.
The quick version:
• Upload or design your invite tonight and share one link in the group chat
• Ask for replies by tomorrow noon so you can shop in the afternoon
• Add the dress code and whether guests should bring a bottle
• Watch the headcount update live instead of scrolling for thumbs-up emojis
Then, once the countdown's done, guests open the same link and drop their photos into a Moments album. No more begging for midnight pictures on 2 January.
Create your NYE invite free at lumhe.com, link in bio. 🥂
Send this to whoever's hosting this year.</t>
  </si>
  <si>
    <t xml:space="preserve">#Lumhe #NYE2027 #NewYearsEveParty #NYEParty #HouseParty #PartyInvite #HostingTips #NewYearNewYou #CountdownParty #PartyPlanning #BackyardParty #CelebrateTogether</t>
  </si>
  <si>
    <t xml:space="preserve">NYE plans: hosting, going out or asleep by 10?</t>
  </si>
  <si>
    <t xml:space="preserve">Reel of watercolour scenes: a backyard party under string lights and a couple toasting at a garden party. On-screen text begins: Party's tomorrow. Guest list? Vibes.</t>
  </si>
  <si>
    <t xml:space="preserve">Create NYE invite</t>
  </si>
  <si>
    <t xml:space="preserve">Upbeat, sparkly electro-pop or disco-house track with a build-up that drops on scene 4, countdown-party energy.</t>
  </si>
  <si>
    <t xml:space="preserve">Posts/170_2026-12-30_Reel_R15_NYE-party-invite-with-countdown-RSVPs</t>
  </si>
  <si>
    <t xml:space="preserve">F36</t>
  </si>
  <si>
    <t xml:space="preserve">New Year's Eve day greeting</t>
  </si>
  <si>
    <t xml:space="preserve">Last page of 2026. Make it a good one.</t>
  </si>
  <si>
    <t xml:space="preserve">One more sunset in 2026. ✨
This year you sent invites for weddings, first birthdays, housewarmings and quiet dinners that turned into long nights. Thank you for letting us be a small part of them.
Wherever you are tonight, at a big party, around a fire pit or on the sofa in your pyjamas, we hope the people you love are close by.
See you on the other side of midnight. And if a last-minute party is happening, the invite takes two minutes at lumhe.com.</t>
  </si>
  <si>
    <t xml:space="preserve">#Lumhe #NewYearsEve #NYE #Goodbye2026 #Hello2027 #CountdownToMidnight #NewYearVibes #YearInReview #CelebrateTogether #NYENight #Gratitude #LastDayOfTheYear</t>
  </si>
  <si>
    <t xml:space="preserve">Describe your 2026 in three words. We'll go first: full, busy, grateful.</t>
  </si>
  <si>
    <t xml:space="preserve">Watercolour of two friends holding sparklers on a rooftop under a deep indigo night sky with fireworks over a distant skyline. Text: 'Last page of 2026. Make it a good one.'</t>
  </si>
  <si>
    <t xml:space="preserve">Happy New Year</t>
  </si>
  <si>
    <t xml:space="preserve">DAY-NYE_A</t>
  </si>
  <si>
    <t xml:space="preserve">Posts/171_2026-12-31_Single_F36_New-Year-s-Eve-day-greeting</t>
  </si>
  <si>
    <t xml:space="preserve">S44</t>
  </si>
  <si>
    <t xml:space="preserve">Myth: guests need an app to RSVP</t>
  </si>
  <si>
    <t xml:space="preserve">Want to lose an RSVP? Ask Uncle Ray to sign up.
An e-invite should work like the cards pinned on your fridge: open it, read it, done. That's how Lumhe works. Guests tap the link you sent by text, email or WhatsApp, see the details, and reply in seconds. No app store, no sign-up.
You get the replies in one live headcount, so you can stop scrolling three group chats to count who's coming.
What's the most complicated RSVP you've ever been asked to do? Tell us in the comments, and send your next e-invite free via the link in bio.</t>
  </si>
  <si>
    <t xml:space="preserve">#Lumhe #EInvite #DigitalInvitations #OnlineRSVP #RSVP #EventPlanning #PartyPlanning #Evites #PaperlessInvitations #HostingTips #PartyHostTips</t>
  </si>
  <si>
    <t xml:space="preserve">Has an invite ever asked you to make an account? Did you actually do it?</t>
  </si>
  <si>
    <t xml:space="preserve">Watercolor illustration of a pinboard covered in invitation cards in a garden. Text reads: Myth: guests need an app to RSVP. Fact: they tap one link, no download or login.</t>
  </si>
  <si>
    <t xml:space="preserve">Send an e-invite</t>
  </si>
  <si>
    <t xml:space="preserve">US-73</t>
  </si>
  <si>
    <t xml:space="preserve">Posts/172_2026-12-31_Single_S44_Myth-guests-need-an-app-to-RSVP</t>
  </si>
  <si>
    <t xml:space="preserve">C11</t>
  </si>
  <si>
    <t xml:space="preserve">Wedding Instagram captions to copy</t>
  </si>
  <si>
    <t xml:space="preserve">Wedding captions for every photo you post</t>
  </si>
  <si>
    <t xml:space="preserve">The photos are perfect. Now you just need words worthy of them.
Wedding posts are the ones you'll scroll back to for years, so the caption should feel like you. This carousel has captions for:
• The solo bride twirl shot
• Couple portraits
• The throwback with Mummy-Papa's wedding photo
Plus a few posting manners: credit your photographer and makeup artist, agree on one wedding hashtag early, and check with elders before posting ritual moments.
The best shots are rarely only on the photographer's camera; half are on your cousins' phones. Lumhe Moments collects every guest's photos in one album, in full quality, from the same link as your invite.
Save this for after the wedding, and send it to the bride who'll need it next. 💍</t>
  </si>
  <si>
    <t xml:space="preserve">#Lumhe #WeddingCaptions #InstagramCaptions #IndianWedding #BrideOfInstagram #DulhanDiaries #ShaadiSeason #WeddingPhotography #LehengaLove #WeddingHashtag #DesiBride #BigFatIndianWedding</t>
  </si>
  <si>
    <t xml:space="preserve">Drop your favourite wedding caption below. Best one gets pinned.</t>
  </si>
  <si>
    <t xml:space="preserve">Carousel cover showing a watercolour bride in a red lehenga twirling beside a marigold field, with the text 'Wedding captions for every photo you post'; another slide shows an older couple holding a framed wedding photo under a marigold arch.</t>
  </si>
  <si>
    <t xml:space="preserve">Collect every photo</t>
  </si>
  <si>
    <t xml:space="preserve">IN-17, IN-20</t>
  </si>
  <si>
    <t xml:space="preserve">Wedding Instagram Captions: Best Ideas for Social Media | Wedding Photography Captions: Best Ideas for Social Media</t>
  </si>
  <si>
    <t xml:space="preserve">Posts/173_2027-01-01_Carousel_C11_Wedding-Instagram-captions-to-copy</t>
  </si>
  <si>
    <t xml:space="preserve">S36</t>
  </si>
  <si>
    <t xml:space="preserve">New Year 2027 full tables greeting</t>
  </si>
  <si>
    <t xml:space="preserve">Here's to a year of full tables</t>
  </si>
  <si>
    <t xml:space="preserve">Happy New Year from all of us at Lumhe ✨
We hope 2027 brings long tables, extra chairs pulled up at the last minute and conversations that run past dessert. Weddings, birthdays, housewarmings, Sunday lunches that turn into evenings: we'd love to be the link that brings your people together.
Tell us in the comments: what are you celebrating this year? We'll be cheering you on.</t>
  </si>
  <si>
    <t xml:space="preserve">#Lumhe #HappyNewYear #NewYear2027 #Welcome2027 #Celebrations #DinnerParty #GatherTogether #TableForMany #HostingSeason #GoodTimesAhead</t>
  </si>
  <si>
    <t xml:space="preserve">Drop one emoji for the celebration you're planning in 2027 👇</t>
  </si>
  <si>
    <t xml:space="preserve">Watercolour illustration of a long garden dinner table set for guests. Text reads: Happy New Year. Here's to a year of full tables.</t>
  </si>
  <si>
    <t xml:space="preserve">Plan a celebration</t>
  </si>
  <si>
    <t xml:space="preserve">US-34</t>
  </si>
  <si>
    <t xml:space="preserve">Paperless Post Invitations Guide</t>
  </si>
  <si>
    <t xml:space="preserve">Posts/174_2027-01-01_Single_S36_New-Year-2027-full-tables-greeting</t>
  </si>
  <si>
    <t xml:space="preserve">C31</t>
  </si>
  <si>
    <t xml:space="preserve">Luxury invitation etiquette lessons</t>
  </si>
  <si>
    <t xml:space="preserve">What high-profile weddings get right</t>
  </si>
  <si>
    <t xml:space="preserve">The most elegant invitations leave nothing to guess.
High-profile weddings get endless attention for their stationery, but the lesson isn't to spend more. It's intention: clear details, correct wording and guests who feel looked after from the first envelope.
Swipe for four etiquette lessons you can use at any budget, from "honor of your presence" versus "pleasure of your company" to how far ahead to send for a destination wedding.
One more: when a weekend has several events, give each its own RSVP. It's the quiet detail planners love.
Upload your design to Lumhe, share it in one link and track RSVPs for every event separately. Start at the link in bio.
Save this for when the stationery samples arrive 🤍</t>
  </si>
  <si>
    <t xml:space="preserve">#Lumhe #LuxuryWedding #WeddingEtiquette #ElegantWedding #BlackTieWedding #LetterpressInvitations #WeddingStationery #DestinationWedding #LuxuryInvitations #FormalWedding #WeddingDetails #WeddingPlanner</t>
  </si>
  <si>
    <t xml:space="preserve">Hand-addressed envelopes: essential or skippable?</t>
  </si>
  <si>
    <t xml:space="preserve">Watercolour illustration of a navy luxury invitation box. Text reads: What high-profile weddings get right.</t>
  </si>
  <si>
    <t xml:space="preserve">Upload your invite</t>
  </si>
  <si>
    <t xml:space="preserve">US-55</t>
  </si>
  <si>
    <t xml:space="preserve">Elegant Wedding Invitations: Complete Guide</t>
  </si>
  <si>
    <t xml:space="preserve">Posts/175_2027-01-02_Carousel_C31_Luxury-invitation-etiquette-lessons</t>
  </si>
  <si>
    <t xml:space="preserve">S21</t>
  </si>
  <si>
    <t xml:space="preserve">The question every wedding guest asks</t>
  </si>
  <si>
    <t xml:space="preserve">What's the one question every wedding guest asks?</t>
  </si>
  <si>
    <t xml:space="preserve">Answered "is there a car park?" five times this week?
A wedding website exists for exactly these questions. The arrival time, the car park, the dress code, whether children or plus-ones are invited, where to stay nearby. Put the answers in one place and you'll spend far less time replying to messages in the run-up.
With Lumhe, those details sit right alongside the invite and the RSVP in one link, so guests find them without asking.
So, which question comes up most for you? Drop it below 👇 and build your wedding link free at lumhe.com.</t>
  </si>
  <si>
    <t xml:space="preserve">#Lumhe #WeddingWebsite #UKWeddingPlanning #WeddingGuests #BrideToBeUK #WeddingQuestions #EngagedUK #WeddingPlanner #PlusOne #WeddingDressCode #UKWeddings2027</t>
  </si>
  <si>
    <t xml:space="preserve">Ours is: "Can I bring my plus-one?" Yours?</t>
  </si>
  <si>
    <t xml:space="preserve">Watercolour illustration of a couple browsing invitations on a tablet against a navy background. Text reads: What's the one question every wedding guest asks?</t>
  </si>
  <si>
    <t xml:space="preserve">Build your wedding link</t>
  </si>
  <si>
    <t xml:space="preserve">UK-48</t>
  </si>
  <si>
    <t xml:space="preserve">Free Bridal Websites: Complete Guide</t>
  </si>
  <si>
    <t xml:space="preserve">Posts/176_2027-01-02_Single_S21_The-question-every-wedding-guest-asks</t>
  </si>
  <si>
    <t xml:space="preserve">F37</t>
  </si>
  <si>
    <t xml:space="preserve">Lohri party and first Lohri invite guide</t>
  </si>
  <si>
    <t xml:space="preserve">Your Lohri invite, lit in time</t>
  </si>
  <si>
    <t xml:space="preserve">Rewri in one pocket, moongphali in the other, the mohalla invited.
Lohri falls on 13 January, and if it's a baby's first Lohri or a newly married couple's, the invites need to go out now. Bua will want to know the time, and so will the dhol wala.
Swipe for:
• Invite wording for a first Lohri
• A bonfire-night checklist
• The menu everyone expects
• Ideas for the evening
Tip: share a location pin and a parking note. Lohri crowds always grow by the evening.
Save this, then create your Lohri invite on Lumhe. One link, a live headcount for the rewri packets, and Digital Lifafa for shagun from relatives who can't make it. Link in bio.</t>
  </si>
  <si>
    <t xml:space="preserve">#Lumhe #Lohri #Lohri2027 #FirstLohri #LohriCelebration #PunjabiCulture #Rewri #Gajak #BonfireNight #HarvestFestival #LohriParty #PunjabiWedding #BabysFirstLohri</t>
  </si>
  <si>
    <t xml:space="preserve">Whose first Lohri are you celebrating this year? Tag them with a 🔥.</t>
  </si>
  <si>
    <t xml:space="preserve">Watercolour carousel: a woman throwing petals in a golden wheat field, and a family circling a Lohri bonfire, tossing popcorn and rewri into the flames as a dhol player looks on. Slides share Lohri invite wording and a host checklist.</t>
  </si>
  <si>
    <t xml:space="preserve">Create your Lohri invite</t>
  </si>
  <si>
    <t xml:space="preserve">IN-45, PAIR-LOH_B</t>
  </si>
  <si>
    <t xml:space="preserve">Wishes For Newly Wed Couple: Heartfelt Messages &amp; Quotes | New watercolour, blog topic: festival</t>
  </si>
  <si>
    <t xml:space="preserve">Posts/177_2027-01-03_Carousel_F37_Lohri-party-and-first-Lohri-invite-guide</t>
  </si>
  <si>
    <t xml:space="preserve">Lohri</t>
  </si>
  <si>
    <t xml:space="preserve">2027-01-13</t>
  </si>
  <si>
    <t xml:space="preserve">F38</t>
  </si>
  <si>
    <t xml:space="preserve">S46</t>
  </si>
  <si>
    <t xml:space="preserve">Printer file checklist: DPI, bleed, CMYK</t>
  </si>
  <si>
    <t xml:space="preserve">Send your printer 300 DPI, bleed and CMYK</t>
  </si>
  <si>
    <t xml:space="preserve">Nothing stings like a gorgeous invite with your names trimmed off.
Before you upload to any print shop, check three things:
• 300 DPI, so text and illustrations stay crisp
• A 1/8-inch bleed past the trim line, with key text kept well inside it
• CMYK color mode, because screens and paper show color differently
Order one proof before the full batch, and read it aloud to catch typos.
Printing just a few for keepsakes? You can upload that same design to Lumhe and send it as a link to everyone else, with RSVPs built in.
Save this for proof day and share it with whoever's designing yours.</t>
  </si>
  <si>
    <t xml:space="preserve">#Lumhe #InvitationPrinting #PrintTips #WeddingStationeryUSA #DIYInvitations #PrintDesign #CustomInvitations #PaperGoods #StationeryDesign #InvitationDesign #DesignTips #PrintShop</t>
  </si>
  <si>
    <t xml:space="preserve">Ever had a print job go wrong? Tell us what happened.</t>
  </si>
  <si>
    <t xml:space="preserve">Watercolor illustration of a hand pulling invitation cards from an envelope in a garden. Text reads: Send your printer 300 DPI, bleed and CMYK.</t>
  </si>
  <si>
    <t xml:space="preserve">US-76</t>
  </si>
  <si>
    <t xml:space="preserve">Invitation Card Printing: Complete Guide</t>
  </si>
  <si>
    <t xml:space="preserve">Posts/178_2027-01-03_Single_S46_Printer-file-checklist-DPI-bleed-CMYK</t>
  </si>
  <si>
    <t xml:space="preserve">F39</t>
  </si>
  <si>
    <t xml:space="preserve">Sankranti, Pongal and Haldi-Kunku invite guide</t>
  </si>
  <si>
    <t xml:space="preserve">Kites, Pongal and Haldi-Kunku invites</t>
  </si>
  <si>
    <t xml:space="preserve">Kites on the terrace, a pot boiling over, a guest list pending.
Makar Sankranti and Pongal fall on 14 January, and in many homes the celebrations run for days. Whether you're hosting a terrace kite party, a Pongal lunch or a Haldi-Kunku afternoon, the invite should go out this week.
Swipe for:
• Haldi-Kunku invite wording in Marathi
• A Pongal lunch invite
• A kite-party checklist
• Vaan and host extras
Tip: Haldi-Kunku gatherings often continue after Sankranti, so give guests a time window, not just a date.
Save this, then create your invite on Lumhe. One link, a live headcount for every vaan you pack, and Digital Lifafa for gifts. Link in bio.</t>
  </si>
  <si>
    <t xml:space="preserve">#Lumhe #MakarSankranti #Pongal #HaldiKunku #Sankranti2027 #Uttarayan #KiteFestival #Tilgul #SakkaraiPongal #Kolam #MarathiCulture #HarvestFestival #FestiveInvites</t>
  </si>
  <si>
    <t xml:space="preserve">Which one is your house: kites, Pongal pot or Haldi-Kunku? Tell us below.</t>
  </si>
  <si>
    <t xml:space="preserve">Watercolour carousel: a family on a terrace at sunrise flying kites with a spool, marigolds strung on the railing, and a close-up of a kolam at a doorstep beside a clay pot of pongal boiling over, with sugarcane and marigolds. Slides share Sankranti and Pongal invite ideas.</t>
  </si>
  <si>
    <t xml:space="preserve">PAIR-SAN_A, PAIR-SAN_B</t>
  </si>
  <si>
    <t xml:space="preserve">Posts/179_2027-01-04_Carousel_F39_Sankranti-Pongal-and-Haldi-Kunku-invite</t>
  </si>
  <si>
    <t xml:space="preserve">Makar Sankranti / Pongal</t>
  </si>
  <si>
    <t xml:space="preserve">2027-01-14</t>
  </si>
  <si>
    <t xml:space="preserve">F40</t>
  </si>
  <si>
    <t xml:space="preserve">S23</t>
  </si>
  <si>
    <t xml:space="preserve">Print one proof before the full run</t>
  </si>
  <si>
    <t xml:space="preserve">Hold one proof before you print the lot</t>
  </si>
  <si>
    <t xml:space="preserve">That blank card could save you an expensive reprint.
Before you order 150 invitations, ask your printer for one physical proof. On screen, ivory looks white and a misspelt middle name hides in plain sight. In your hand, you'll spot both.
A quick printing cheat sheet:
• Digital printing suits smaller runs and turns around in days
• Litho (offset) printing makes sense for larger quantities
• Order a few spares for keepsakes and the frame on Nan's mantelpiece
Then pop the final design on Lumhe and share it as one link, so far-flung guests RSVP without waiting for the post.
Save this for proof day 📌</t>
  </si>
  <si>
    <t xml:space="preserve">#Lumhe #WeddingStationeryUK #WeddingInvitationsUK #UKWedding #WeddingPrinting #StationeryLove #WeddingPlanningUK #BrideToBeUK #Engaged2026 #WeddingInspoUK #InvitationDesign #DigitalInvitations</t>
  </si>
  <si>
    <t xml:space="preserve">Be honest: have you ever spotted a typo after printing? 🙈</t>
  </si>
  <si>
    <t xml:space="preserve">Watercolour illustration of a hand holding a blank card above a field of marigolds. Text reads: Hold one proof before you print the lot.</t>
  </si>
  <si>
    <t xml:space="preserve">Share your invite free</t>
  </si>
  <si>
    <t xml:space="preserve">UK-54</t>
  </si>
  <si>
    <t xml:space="preserve">Wedding Card Printing: Complete Guide</t>
  </si>
  <si>
    <t xml:space="preserve">Posts/180_2027-01-04_Single_S23_Print-one-proof-before-the-full-run</t>
  </si>
  <si>
    <t xml:space="preserve">C14</t>
  </si>
  <si>
    <t xml:space="preserve">Sangeet invite ideas and wording</t>
  </si>
  <si>
    <t xml:space="preserve">Invites that start the dance early</t>
  </si>
  <si>
    <t xml:space="preserve">Your sangeet invite is the first song of the night.
It should feel like the evening itself: bright colours, a little filmi, and every detail a guest needs before they start rehearsing their steps.
Inside this carousel:
• 4 design vibes, from Bollywood marquee to fairy-light garden
• A Hinglish line for the cousins' group
• A graceful version for the elders
• The questions guests always ask (yes, including "dinner hai ya nahi?")
A tip we swear by: ask each side of the family to sign up for performances when they RSVP, so you're not building the running order at midnight before the event.
On Lumhe, Sangeet is its own function with its own RSVP, so you know exactly how many people are hitting the dance floor and how much food to order.
Save this for the shaadi planning group and create your sangeet invite free via the link in bio. 💃</t>
  </si>
  <si>
    <t xml:space="preserve">#Lumhe #SangeetNight #SangeetInvite #SangeetCeremony #ShaadiSeason #IndianWedding #BigFatIndianWedding #WeddingInvitationIndia #DigitalInvite #ShaadiPlanning #DesiWedding #BrideToBe #WeddingDanceIndia</t>
  </si>
  <si>
    <t xml:space="preserve">Which vibe is your sangeet: Bollywood marquee, mehfil, filmi poster or fairy lights?</t>
  </si>
  <si>
    <t xml:space="preserve">Watercolour illustration of a sangeet table with patterned invitation cards, flowers and paintbrushes. The cover text reads: Invites that start the dance early.</t>
  </si>
  <si>
    <t xml:space="preserve">Create sangeet invite</t>
  </si>
  <si>
    <t xml:space="preserve">RU-6</t>
  </si>
  <si>
    <t xml:space="preserve">10 Best Sangeet Night Invitation Templates — Download Free &amp; Send Digitally</t>
  </si>
  <si>
    <t xml:space="preserve">Posts/181_2027-01-05_Carousel_C14_Sangeet-invite-ideas-and-wording</t>
  </si>
  <si>
    <t xml:space="preserve">S48</t>
  </si>
  <si>
    <t xml:space="preserve">Myth: DIY invites must be mailed</t>
  </si>
  <si>
    <t xml:space="preserve">Myth: a homemade invite only counts on paper</t>
  </si>
  <si>
    <t xml:space="preserve">Wax seal, sprig of lavender, hours at the kitchen table. Worth it.
But designing your own wedding invitation doesn't lock you into printing and posting 120 of them. Here's the split plenty of DIY couples use:
• Design once in Canva or your favorite tool
• Print and seal a small batch for grandparents and anyone who'd treasure paper
• Export the same design as a PDF or image and send it as a Lumhe link to everyone else
Same design, same personality, and RSVPs come back to you without a single stamp.
Tag the friend who already owns a wax seal kit 💜</t>
  </si>
  <si>
    <t xml:space="preserve">#Lumhe #DIYWedding #DIYInvitations #WaxSeal #WeddingStationery #HandmadeWedding #WeddingInvitations #Engaged #WeddingPlanning2027 #LavenderWedding #BudgetWedding #CanvaDesign</t>
  </si>
  <si>
    <t xml:space="preserve">Paper, digital or both: how are you sending yours?</t>
  </si>
  <si>
    <t xml:space="preserve">Watercolour illustration of a sealed envelope with a wax seal and sprigs of lavender. Text reads: Myth: a homemade invite only counts on paper.</t>
  </si>
  <si>
    <t xml:space="preserve">US-84</t>
  </si>
  <si>
    <t xml:space="preserve">Posts/182_2027-01-05_Single_S48_Myth-DIY-invites-must-be-mailed</t>
  </si>
  <si>
    <t xml:space="preserve">C32</t>
  </si>
  <si>
    <t xml:space="preserve">Birthday invitation wording by age</t>
  </si>
  <si>
    <t xml:space="preserve">Invite wording from 5 to 80</t>
  </si>
  <si>
    <t xml:space="preserve">The right birthday wording depends on whether they're turning 5 or 80.
A kid's invite needs to excite children and inform parents. A 30th can be cheeky. An 80th deserves warmth. Swipe for copy-ready wording for every stage, plus the details every birthday invitation needs, whatever the age.
Quick tip: put the RSVP deadline a week before you need to order the cake or book the table. You'll thank yourself.
When your wording's ready, create the invite on Lumhe, share one link and watch replies arrive live. After the party, everyone can add their photos to a shared Moments album.
Save this for the next birthday on your calendar 🎂 and tag the friend who always plans the party. Start free at the link in bio.</t>
  </si>
  <si>
    <t xml:space="preserve">#Lumhe #BirthdayInvitations #BirthdayWording #BirthdayPartyIdeas #30thBirthday #Sweet16 #80thBirthday #KidsBirthdayParty #MilestoneBirthday #PartyInvite #BirthdayPlanning #DessertTable #BalloonArch</t>
  </si>
  <si>
    <t xml:space="preserve">Whose birthday are you planning next? Tell us the age 👇</t>
  </si>
  <si>
    <t xml:space="preserve">Watercolour illustration of a calligraphy birthday welcome card surrounded by flowers. Text reads: Invite wording from 5 to 80.</t>
  </si>
  <si>
    <t xml:space="preserve">Create birthday invite</t>
  </si>
  <si>
    <t xml:space="preserve">US-89, US-77</t>
  </si>
  <si>
    <t xml:space="preserve">Birthday Invitation: Wording &amp; Creative Ideas | Invitation To Birthday Party: Wording &amp; Creative Ideas</t>
  </si>
  <si>
    <t xml:space="preserve">Posts/183_2027-01-06_Carousel_C32_Birthday-invitation-wording-by-age</t>
  </si>
  <si>
    <t xml:space="preserve">R14</t>
  </si>
  <si>
    <t xml:space="preserve">Bride squad party planning reel</t>
  </si>
  <si>
    <t xml:space="preserve">The bride squad chat is on fire</t>
  </si>
  <si>
    <t xml:space="preserve">Planning for the bride shouldn't feel like herding cats.
Whether it's a bridal shower, a hen do or a ladies' sangeet, the hardest part is the same: getting clear answers from everyone. Here's how squads sort it in one evening:
• Pick the dates and split the plan into events (brunch, spa, party night)
• Upload your invite design to Lumhe and share one link
• Each guest RSVPs to the events they're invited to
• Watch the headcount update live, so bookings are easy
• After the weekend, everyone drops their photos into one Moments album for the bride
No app, no login, no voice notes to decode.
Tag your maid of honour, bridesmaid or chief planner 👯‍♀️ and start free at the link in bio.</t>
  </si>
  <si>
    <t xml:space="preserve">#Lumhe #BrideSquad #HenDo #BridalShower #Bridesmaids #BrideTribe #BacheloretteParty #BridesmaidLife #GirlsWeekend #BrideToBe #WeddingCrew #MehendiNight #HenParty #SquadGoals</t>
  </si>
  <si>
    <t xml:space="preserve">What's your role in the squad: planner, hype girl or late replier?</t>
  </si>
  <si>
    <t xml:space="preserve">Reel of watercolour scenes: friends in flower crowns around a laptop and bridesmaids in lehengas holding flowers. On-screen text begins: The bride squad chat is on fire.</t>
  </si>
  <si>
    <t xml:space="preserve">Plan the squad party</t>
  </si>
  <si>
    <t xml:space="preserve">Fun, girly pop anthem with a playful beat drop on scene 3, celebratory 'besties' road-trip energy.</t>
  </si>
  <si>
    <t xml:space="preserve">UK-17, US-23</t>
  </si>
  <si>
    <t xml:space="preserve">Best Wedding Websites: Complete Guide | When Do You Send Out Wedding Invitations? The Complete Timeline</t>
  </si>
  <si>
    <t xml:space="preserve">Posts/184_2027-01-06_Reel_R14_Bride-squad-party-planning-reel</t>
  </si>
  <si>
    <t xml:space="preserve">S25</t>
  </si>
  <si>
    <t xml:space="preserve">Sister-made invitations quote card</t>
  </si>
  <si>
    <t xml:space="preserve">The best invitations are made at the kitchen table, with your sister arguing about fonts.</t>
  </si>
  <si>
    <t xml:space="preserve">Some wedding jobs are best shared with your sister.
Making your own invitations is a lovely excuse for a sister afternoon: tea, a laptop and strong opinions about serif versus script. A few ground rules so it stays fun:
• Agree the colours and wording before anyone opens a design tool
• Read every name and date aloud, together
• Print a handful for keepsakes and grandparents
• Share the final design as a Lumhe link so day and evening guests can RSVP
Tag your font-arguing partner in crime 💛 and start your invite at the link in bio.</t>
  </si>
  <si>
    <t xml:space="preserve">#Lumhe #MakeYourOwnInvitations #DIYWeddingUK #SisterLove #BridalPrep #WeddingStationeryUK #UKBride #Bride2027 #WeddingInvitationsUK #MaidOfHonour #WeddingPlanningUK</t>
  </si>
  <si>
    <t xml:space="preserve">Who's your invitation co-designer: sister, best friend or mum?</t>
  </si>
  <si>
    <t xml:space="preserve">Watercolour illustration of a bride in bridal wear hugging her sister. Text reads: The best invitations are made at the kitchen table, with your sister arguing about fonts.</t>
  </si>
  <si>
    <t xml:space="preserve">UK-59</t>
  </si>
  <si>
    <t xml:space="preserve">Make Your Own Wedding Invitations: Complete Guide</t>
  </si>
  <si>
    <t xml:space="preserve">Posts/185_2027-01-07_Single_S25_Sister-made-invitations-quote-card</t>
  </si>
  <si>
    <t xml:space="preserve">S49</t>
  </si>
  <si>
    <t xml:space="preserve">Moments album for family feasts</t>
  </si>
  <si>
    <t xml:space="preserve">The feast ends. The photos shouldn't scatter.</t>
  </si>
  <si>
    <t xml:space="preserve">Ten relatives, ten phones, ten different camera rolls.
After every big family dinner, the best photos live on someone else's phone: your cousin's candid of Grandpa laughing, your aunt's shot of the whole table under the balloon arch.
Moments fixes that. It's a shared album built into your Lumhe invite, so guests open the link they RSVP'd with and upload straight from their phones. No app, no login, no compressed group-chat copies, and it doesn't disappear after 24 hours like a Story.
Hosting the next family get-together? Create your invite free at the link in bio.</t>
  </si>
  <si>
    <t xml:space="preserve">#Lumhe #FamilyDinner #FamilyGathering #SharedAlbum #PartyPhotos #FamilyMemories #BalloonArch #HostingIdeas #FamilyTime #EventPhotos #DigitalInvite #PartyIdeas</t>
  </si>
  <si>
    <t xml:space="preserve">Who's the designated photographer in your family?</t>
  </si>
  <si>
    <t xml:space="preserve">Watercolour illustration of a family feast beneath a gold balloon arch. Text reads: The feast ends. The photos shouldn't scatter.</t>
  </si>
  <si>
    <t xml:space="preserve">Create a Moments album</t>
  </si>
  <si>
    <t xml:space="preserve">US-86</t>
  </si>
  <si>
    <t xml:space="preserve">Paperless Post Invitations: Complete Guide</t>
  </si>
  <si>
    <t xml:space="preserve">Posts/186_2027-01-07_Single_S49_Moments-album-for-family-feasts</t>
  </si>
  <si>
    <t xml:space="preserve">C15</t>
  </si>
  <si>
    <t xml:space="preserve">Roka and ring ceremony wording</t>
  </si>
  <si>
    <t xml:space="preserve">Engagement wording, ready to send</t>
  </si>
  <si>
    <t xml:space="preserve">The rishta is pakka. Now comes the guest list.
Roka and ring ceremony invites usually go to two very different groups: close family who need the shubh muhurat and the address, and friends who just want to know when the party starts.
Swipe for three versions you can copy:
• Formal English for the printed card
• Shuddh Hindi for the elders ("aapki garimamayi upasthiti prarthaniya hai")
• A fun one for the friends' group
Etiquette note: the roka is often small and arranged quickly, so a phone call to elders before the digital invite still goes a long way. The ring ceremony is the bigger, planned event, so give people 3–4 weeks.
On Lumhe, both can sit under one event with separate RSVPs, and relatives who can't travel can send shagun straight to your UPI via Digital Lifafa.
Save this and create your engagement invite free via the link in bio. 💍</t>
  </si>
  <si>
    <t xml:space="preserve">#Lumhe #RokaCeremony #RingCeremony #EngagementInvitation #IndianEngagement #Sagai #RishtaPakka #EngagementIndia #ShaadiPlanning #DigitalLifafa #IndianWeddingInvites #Shagun #NewlyEngaged</t>
  </si>
  <si>
    <t xml:space="preserve">Roka first or straight to the ring ceremony in your family?</t>
  </si>
  <si>
    <t xml:space="preserve">Watercolour illustrations of engagement invitation cards on marble with a ring, and a couple wearing garlands in a rose garden. Cover text reads: Engagement wording, ready to send.</t>
  </si>
  <si>
    <t xml:space="preserve">RU-5, UK-63</t>
  </si>
  <si>
    <t xml:space="preserve">8 Elegant Engagement Invitation Templates — Free Downloads for Indian Ceremonies | Invitation Card Design: Complete Guide</t>
  </si>
  <si>
    <t xml:space="preserve">Posts/187_2027-01-08_Carousel_C15_Roka-and-ring-ceremony-wording</t>
  </si>
  <si>
    <t xml:space="preserve">S26</t>
  </si>
  <si>
    <t xml:space="preserve">Guest etiquette: reply within a week</t>
  </si>
  <si>
    <t xml:space="preserve">Reply within a week, even if it's a no</t>
  </si>
  <si>
    <t xml:space="preserve">Being a good guest starts the moment the invitation lands.
A few bits of UK invitation etiquette worth knowing:
• Reply within a week, whatever the RSVP date says
• A polite no is far kinder than silence
• If only your name is on it, it's just you; don't assume a plus-one or the children
• If your plans change, tell the host straight away
Hosts plan food, seating and numbers around your answer. Make it an easy one.
Send this to the friend whose replies take a month 😉 and plan your own invite at the link in bio.</t>
  </si>
  <si>
    <t xml:space="preserve">#Lumhe #InvitationEtiquette #GuestEtiquette #RSVPPlease #WeddingGuestUK #UKWeddings #Manners #EtiquetteTips #PartyGuest #WeddingSeasonUK #HostingUK</t>
  </si>
  <si>
    <t xml:space="preserve">What's the longest you've waited for someone's RSVP?</t>
  </si>
  <si>
    <t xml:space="preserve">Watercolour illustration of a couple reading an invitation card together beside flowers. Text reads: Reply within a week, even if it's a no.</t>
  </si>
  <si>
    <t xml:space="preserve">UK-62</t>
  </si>
  <si>
    <t xml:space="preserve">Invited: Complete Guide</t>
  </si>
  <si>
    <t xml:space="preserve">Posts/188_2027-01-08_Single_S26_Guest-etiquette-reply-within-a-week</t>
  </si>
  <si>
    <t xml:space="preserve">C28</t>
  </si>
  <si>
    <t xml:space="preserve">WhatsApp wedding invites done right</t>
  </si>
  <si>
    <t xml:space="preserve">WhatsApp invites, done right</t>
  </si>
  <si>
    <t xml:space="preserve">A WhatsApp invite can be as respectful as a card.
The trick is in how you send it. Swipe for:
• Format tips so the card looks good on any phone
• An English message to type above the card
• A Hindi message for elders ("aap saparivaar padhaarkar var-vadhu ko aashirvaad dein")
• Etiquette that keeps everyone happy
The golden rule: call the elders first, then send. A card forwarded without a phone call can feel like a broadcast, and in many families that matters.
And please, never post the invite in a group where not everyone is on the guest list. 🙏
With Lumhe, one link carries every function. Mausaji sees the wedding and reception, your college gang sees the sangeet too, and everyone replies without downloading anything.
Save this for the day the cards go out, and create your link free via the link in bio.</t>
  </si>
  <si>
    <t xml:space="preserve">#Lumhe #WhatsAppInvitation #WeddingInvitationIndia #DigitalWeddingCard #ShaadiCard #IndianWedding2026 #ShubhVivah #WeddingSeasonIndia #EInviteIndia #ShaadiKaCard #WeddingEtiquette #DulhaDulhan #ShagunOnline</t>
  </si>
  <si>
    <t xml:space="preserve">Does your family still expect a phone call before the WhatsApp card? Tell us 👇</t>
  </si>
  <si>
    <t xml:space="preserve">Watercolour illustrations of a hand holding a phone showing a floral invitation among marigolds, and a woman reading her phone over tea. Cover text reads: WhatsApp invites, done right.</t>
  </si>
  <si>
    <t xml:space="preserve">IN-6, IN-37</t>
  </si>
  <si>
    <t xml:space="preserve">Wedding Invitation In Whatsapp Style: Complete Guide | Create Indian Wedding Invitation Card Online Free For Whatsapp: Complete Guide</t>
  </si>
  <si>
    <t xml:space="preserve">Posts/189_2027-01-09_Carousel_C28_WhatsApp-wedding-invites-done-right</t>
  </si>
  <si>
    <t xml:space="preserve">S50</t>
  </si>
  <si>
    <t xml:space="preserve">When to use 'together with their families'</t>
  </si>
  <si>
    <t xml:space="preserve">When to say "together with their families"</t>
  </si>
  <si>
    <t xml:space="preserve">Six words that solve the "who's hosting?" headache.
Traditional invitations open with the parents' names because they hosted. Today, many couples plan and pay alongside both families, and "together with their families" honors everyone without listing four or more names.
How it reads:
"Together with their families, Maya Ortiz and James Lee invite you to celebrate their marriage."
Skip it if one set of parents is formally hosting; name them instead.
Got your wording? Upload your invite to Lumhe and share it in one link. Start at the link in bio.</t>
  </si>
  <si>
    <t xml:space="preserve">#Lumhe #WeddingInvitationWording #WeddingWording #TogetherWithTheirFamilies #WeddingEtiquette #InvitationTips #EngagedAF #WeddingPlanning #ModernWedding #WeddingStationery #BrideToBe2027</t>
  </si>
  <si>
    <t xml:space="preserve">Who's named on your invitation: parents, couple or both?</t>
  </si>
  <si>
    <t xml:space="preserve">Watercolour illustration of two blank cards on linen with flowers. Text reads: When to say together with their families.</t>
  </si>
  <si>
    <t xml:space="preserve">Add your wording</t>
  </si>
  <si>
    <t xml:space="preserve">US-9</t>
  </si>
  <si>
    <t xml:space="preserve">Another Word For Invite: Complete Guide</t>
  </si>
  <si>
    <t xml:space="preserve">Posts/190_2027-01-09_Single_S50_When-to-use-together-with-their-families</t>
  </si>
  <si>
    <t xml:space="preserve">R12</t>
  </si>
  <si>
    <t xml:space="preserve">Digital Lifafa for faraway relatives</t>
  </si>
  <si>
    <t xml:space="preserve">Can't come? Your shagun still can.</t>
  </si>
  <si>
    <t xml:space="preserve">Some blessings travel faster than the people sending them.
Every shaadi has that list: Nani who can't manage the journey, the cousin stuck abroad, the mama ji whose leave got cancelled. They still want to give shagun, and nobody wants to deal with cheques or couriers.
With Digital Lifafa on your Lumhe invite, they open the same link they used to see the functions, tap the lifafa and send shagun by UPI, straight to the UPI ID you add. Lumhe never holds or touches the money.
A few things hosts like:
• Works from WhatsApp, no app or login
• Relatives can add a short blessing
• The amount stays between them and you, as it should
Add Digital Lifafa to your wedding invite, free. Link in bio.
Share this with the cousin who always forgets to send shagun 😄</t>
  </si>
  <si>
    <t xml:space="preserve">#Lumhe #DigitalLifafa #Shagun #IndianWedding #ShaadiSeason #UPI #DigitalShagun #WeddingGifts #DesiWedding #ShaadiDiaries #WeddingInvitationIndia #BigFatIndianWedding #FamilyFirst #NRIWedding</t>
  </si>
  <si>
    <t xml:space="preserve">₹101, ₹501 or ₹1,101: what's the standard shagun in your family?</t>
  </si>
  <si>
    <t xml:space="preserve">Reel of watercolour scenes: Indian women opening invitation cards and gifts at home, and a family showering petals on a newly married couple. On-screen text begins: Can't come? Your shagun still can.</t>
  </si>
  <si>
    <t xml:space="preserve">Warm, gently emotional Indian instrumental with shehnai or flute that lifts into a joyful dhol beat at scene 4.</t>
  </si>
  <si>
    <t xml:space="preserve">UK-18, IN-25</t>
  </si>
  <si>
    <t xml:space="preserve">Digital Marriage Invitation: Complete Guide | Caption For New Wedding Couple: Best Ideas for Social Media</t>
  </si>
  <si>
    <t xml:space="preserve">Posts/191_2027-01-10_Reel_R12_Digital-Lifafa-for-faraway-relatives</t>
  </si>
  <si>
    <t xml:space="preserve">S27</t>
  </si>
  <si>
    <t xml:space="preserve">Choose format before font</t>
  </si>
  <si>
    <t xml:space="preserve">Pick your format before you pick a font</t>
  </si>
  <si>
    <t xml:space="preserve">Stamps out, kettle on. One decision comes first, though.
Before you start designing, decide how your invitation will travel. It changes everything: size, layout, even how much text fits.
• Printed: lovely keepsake, needs time for printing and postage
• Digital: instant, easy to update and simple for guests to reply to
• Both: post a few to those who'd love paper, send a link to everyone else
Once that's settled, the fonts, colours and stamps are the fun part.
Create or upload yours at the link in bio, and save this for your next crafty afternoon ✂️</t>
  </si>
  <si>
    <t xml:space="preserve">#Lumhe #CreateAnInvitation #InvitationDesign #CraftyAfternoon #StampArt #HandmadeUK #PartyPlanningUK #ChristeningUK #BirthdayInvitesUK #DesignTips #EventPlanningUK</t>
  </si>
  <si>
    <t xml:space="preserve">Are you Team Printed, Team Digital or Team Both?</t>
  </si>
  <si>
    <t xml:space="preserve">Watercolour illustration of a woman crafting with rubber stamps at a sunny desk. Text reads: Pick your format before you pick a font.</t>
  </si>
  <si>
    <t xml:space="preserve">UK-66</t>
  </si>
  <si>
    <t xml:space="preserve">Create An Invitation: Complete Guide</t>
  </si>
  <si>
    <t xml:space="preserve">Posts/192_2027-01-10_Single_S27_Choose-format-before-font</t>
  </si>
  <si>
    <t xml:space="preserve">C29</t>
  </si>
  <si>
    <t xml:space="preserve">How to make a wedding invite video</t>
  </si>
  <si>
    <t xml:space="preserve">Your shaadi card, now in motion</t>
  </si>
  <si>
    <t xml:space="preserve">Plan your wedding invite video like a tiny film.
Video invites have become the norm on WhatsApp, but the good ones have something in common: a clear script, a few beautiful shots and text people can actually read.
Our four-step method:
1. Script the text cards first: names, functions, dates, venue, a warm closing line
2. Shoot or collect five or six vertical clips
3. Edit to under a minute, with each card on screen long enough to read
4. Export in HD, test on your own phone, and keep a still version for elders
Then upload it to Lumhe. One link carries the video plus per-function RSVP, so the Mehendi, Sangeet and Reception headcounts come back separately, without a single follow-up call.
Save this for your edit day and share it with your video-editing cousin. Create your invite at the link in bio 🎬</t>
  </si>
  <si>
    <t xml:space="preserve">#Lumhe #WeddingInvitationVideo #VideoInvite #ShaadiCard #IndianWedding #WeddingInvite #ShaadiSeason #WeddingReels #DigitalWeddingCard #Shaadi2027 #IndianBride #WeddingFilm #SaveTheDateIndia</t>
  </si>
  <si>
    <t xml:space="preserve">Video invite or classic card: which did (or will) your family send?</t>
  </si>
  <si>
    <t xml:space="preserve">Watercolour illustration of a videographer filming a couple under a mandap. Text reads: Your shaadi card, now in motion.</t>
  </si>
  <si>
    <t xml:space="preserve">Upload your video</t>
  </si>
  <si>
    <t xml:space="preserve">IN-7, IN-33</t>
  </si>
  <si>
    <t xml:space="preserve">How To Create A Wedding Invitation Video: Complete Guide | Happy Wedding Anniversary Png: Complete Guide</t>
  </si>
  <si>
    <t xml:space="preserve">Posts/193_2027-01-11_Carousel_C29_How-to-make-a-wedding-invite-video</t>
  </si>
  <si>
    <t xml:space="preserve">S28</t>
  </si>
  <si>
    <t xml:space="preserve">Monogram on the invite debate</t>
  </si>
  <si>
    <t xml:space="preserve">A monogram on the invite: chic or confusing?</t>
  </si>
  <si>
    <t xml:space="preserve">Initials only, or full names in big letters?
Monograms look beautiful on a free template: two letters, a little flourish, done. But some guests squint and wonder whose wedding it is.
If you love the monogram, keep it and spell out both full names in the main wording underneath. Best of both.
Vote in the comments: chic or confusing? Then customise your template and share it as one Lumhe link. Link in bio.</t>
  </si>
  <si>
    <t xml:space="preserve">#Lumhe #Monogram #WeddingMonogram #FreeTemplates #InvitationTemplates #WeddingStationeryUK #UKWeddingInspo #WeddingDesign #EngagedUK #DesignDebate #WeddingDecorUK</t>
  </si>
  <si>
    <t xml:space="preserve">Chic or confusing? One word, go 👇</t>
  </si>
  <si>
    <t xml:space="preserve">Watercolour illustration of a laptop showing a monogram beside candles and marigolds. Text reads: A monogram on the invite: chic or confusing?</t>
  </si>
  <si>
    <t xml:space="preserve">Pick a template</t>
  </si>
  <si>
    <t xml:space="preserve">UK-69</t>
  </si>
  <si>
    <t xml:space="preserve">Free Invite Templates: Complete Guide</t>
  </si>
  <si>
    <t xml:space="preserve">Posts/194_2027-01-11_Single_S28_Monogram-on-the-invite-debate</t>
  </si>
  <si>
    <t xml:space="preserve">C30</t>
  </si>
  <si>
    <t xml:space="preserve">Wedding day wishes for everyone</t>
  </si>
  <si>
    <t xml:space="preserve">Better than another "Congrats!!" message</t>
  </si>
  <si>
    <t xml:space="preserve">The couple will read every message. Make yours one they remember.
Wedding day wishes don't need to be long. They need to sound like you. Swipe for wishes you can copy for your best friend, Hindi blessings for the family group, lines for your didi or bhai, and a quick etiquette guide on when to send.
One small tip: send your message the morning of the wedding. During the pheras, phones are on silent and your wish gets buried under a hundred others.
Can't be there in person? If the couple has shared a Lumhe invite, you can send shagun through Digital Lifafa (UPI, straight to their UPI ID) and see all the function photos in their Moments album.
Save this for the next shaadi in your calendar, and share it with your group chat 💐</t>
  </si>
  <si>
    <t xml:space="preserve">#Lumhe #WeddingWishes #HappyWeddingDay #ShaadiMubarak #WeddingQuotes #IndianWedding #BestFriendWedding #DidiKiShaadi #ShaadiSeason #HindiWishes #WeddingBlessings #DesiWedding</t>
  </si>
  <si>
    <t xml:space="preserve">Which line are you sending to your bestie? Tag them 👇</t>
  </si>
  <si>
    <t xml:space="preserve">Watercolour illustration of a hand holding a phone showing a floral invitation in a garden. Text reads: Better than another Congrats!! message.</t>
  </si>
  <si>
    <t xml:space="preserve">Explore Lumhe</t>
  </si>
  <si>
    <t xml:space="preserve">IN-42, IN-46</t>
  </si>
  <si>
    <t xml:space="preserve">Happy Wedding Day Wishes: Heartfelt Messages &amp; Quotes | Friends Wedding Quotes: Complete Guide</t>
  </si>
  <si>
    <t xml:space="preserve">Posts/195_2027-01-12_Carousel_C30_Wedding-day-wishes-for-everyone</t>
  </si>
  <si>
    <t xml:space="preserve">Lohri tomorrow reminder reel</t>
  </si>
  <si>
    <t xml:space="preserve">Lohri is tomorrow!</t>
  </si>
  <si>
    <t xml:space="preserve">Lohri is tomorrow. Does everyone actually know the time?
The wood is stacked, the rewri is packed and someone has already promised the dhol will start "exactly at 7". A last-minute check:
• Send one invite link with the time and location pin
• See who's coming and how many rewri packets you need
• Ask guests to drop their bonfire photos into one Moments album
• For relatives who can't travel, Digital Lifafa sends shagun straight to your UPI
It's a small thing, but the first Lohri photos are the ones families keep for years. Keep them in one place, in full quality.
Share this with the family member hosting this year. Create your invite free at lumhe.com.</t>
  </si>
  <si>
    <t xml:space="preserve">#Lumhe #LohriTomorrow #Lohri #HappyLohri #LohriDiyanVadhaiyan #FirstLohri #LohriVibes #PunjabiReels #BonfireNight #Rewri #DholBeats #FamilyCelebrations</t>
  </si>
  <si>
    <t xml:space="preserve">Popcorn, rewri or moongphali: what goes into your Lohri fire first?</t>
  </si>
  <si>
    <t xml:space="preserve">Watercolour reel: a woman throwing petals in a golden wheat field, and a family circling a Lohri bonfire with popcorn and rewri while a dhol player plays. Text reminds viewers Lohri is tomorrow and shows how one invite link helps.</t>
  </si>
  <si>
    <t xml:space="preserve">Energetic dhol-led Punjabi folk beat with a bhangra drop, festive and fast.</t>
  </si>
  <si>
    <t xml:space="preserve">Posts/196_2027-01-12_Reel_F38_Lohri-tomorrow-reminder-reel</t>
  </si>
  <si>
    <t xml:space="preserve">Sankranti tomorrow reminder reel</t>
  </si>
  <si>
    <t xml:space="preserve">Kites up tomorrow!</t>
  </si>
  <si>
    <t xml:space="preserve">Tomorrow the kites go up and the pot boils over. Ready?
It's Makar Sankranti and Pongal tomorrow, and the to-do list always grows overnight. A quick last-minute plan:
• Send one invite link with the time and address for your kite party, Pongal lunch or Haldi-Kunku
• Check the live headcount before you pack the vaan
• Ask everyone to add their terrace and kolam photos to one Moments album
• Relatives far away can send gifts by Digital Lifafa, straight to your UPI
The photos from the terrace are always the best part. Keep them all in one album, in full quality, not lost in ten different chats.
Share this with the family member who's on manja duty. Create your invite free at lumhe.com.</t>
  </si>
  <si>
    <t xml:space="preserve">#Lumhe #SankrantiTomorrow #MakarSankranti #PongalVibes #Uttarayan2027 #KitePartyIndia #HaldiKunkuInvite #PatangBaazi #PongalCelebration #FestiveReels #TilgulGhya #IndianFestivals</t>
  </si>
  <si>
    <t xml:space="preserve">Kai po che! Who is the best kite flyer in your family?</t>
  </si>
  <si>
    <t xml:space="preserve">Watercolour reel: a family flying kites on a sunrise terrace with marigolds on the railing, and a kolam beside a clay pot of pongal boiling over with sugarcane. Text reminds viewers that Sankranti is tomorrow and shows how one invite link helps.</t>
  </si>
  <si>
    <t xml:space="preserve">Bright folk-fusion track with nadaswaram or flute over a light dhol beat, joyful and sunrise-fresh.</t>
  </si>
  <si>
    <t xml:space="preserve">Posts/197_2027-01-13_Reel_F40_Sankranti-tomorrow-reminder-reel</t>
  </si>
  <si>
    <t xml:space="preserve">S05</t>
  </si>
  <si>
    <t xml:space="preserve">Lohri and Makar Sankranti harvest greeting</t>
  </si>
  <si>
    <t xml:space="preserve">Nayi fasal, nayi khushiyan</t>
  </si>
  <si>
    <t xml:space="preserve">Golden fields, bonfires, til-gud and kites on every rooftop 🌾
Whether you're dancing around the Lohri fire, flying patang on Sankranti, boiling over the Pongal pot or feasting for Magh Bihu, this is the season of thanks and togetherness.
And to our Maharashtrian friends: tilgul ghya, god god bola!
Hosting the family for the festival? Send one invite link to everyone and see who's coming, at the link in bio.
How does your family celebrate the harvest? Tell us below.</t>
  </si>
  <si>
    <t xml:space="preserve">#Lumhe #HappyLohri #MakarSankranti #Lohri2027 #Pongal #MaghBihu #HarvestFestival #TilgulGhyaGodGodBola #KiteFestival #Uttarayan #FestiveVibes #IndianFestivals</t>
  </si>
  <si>
    <t xml:space="preserve">Bonfire, kites or til-gud laddoos: what's your favourite part?</t>
  </si>
  <si>
    <t xml:space="preserve">Watercolour illustration of a woman throwing petals in a golden wheat field. Text reads: Lohri and Makar Sankranti. Nayi fasal, nayi khushiyan.</t>
  </si>
  <si>
    <t xml:space="preserve">Invite the family</t>
  </si>
  <si>
    <t xml:space="preserve">IN-45</t>
  </si>
  <si>
    <t xml:space="preserve">Wishes For Newly Wed Couple: Heartfelt Messages &amp; Quotes</t>
  </si>
  <si>
    <t xml:space="preserve">Posts/198_2027-01-13_Single_S05_Lohri-and-Makar-Sankranti-harvest-greeti</t>
  </si>
  <si>
    <t xml:space="preserve">F41</t>
  </si>
  <si>
    <t xml:space="preserve">Makar Sankranti and Pongal greeting</t>
  </si>
  <si>
    <t xml:space="preserve">Til-gud in hand, a sweeter year ahead</t>
  </si>
  <si>
    <t xml:space="preserve">Happy Makar Sankranti from all of us at Lumhe. 🪁
Today the sun turns north, the kites fill the sky and kitchens smell of jaggery and sesame. Iniya Pongal nalvazhthukkal to everyone stirring the pot, and happy Uttarayan to every terrace shouting "kai po che".
May this harvest bring sweet words, full plates and family close by.
Hosting Haldi-Kunku later this week? Your invite link is ready whenever you are at lumhe.com.</t>
  </si>
  <si>
    <t xml:space="preserve">#Lumhe #HappyMakarSankranti #HappyPongal #IniyaPongal #HappyUttarayan #TilGud #SankrantiWishes #HarvestFestival #KitesAndSweets #MakarSankranti2027 #FestiveGreetings #IndianHarvest</t>
  </si>
  <si>
    <t xml:space="preserve">Til-gud laddoo or chikki? Which one does your family make?</t>
  </si>
  <si>
    <t xml:space="preserve">Watercolour of a brass plate with sesame-jaggery laddoos, a sugarcane stalk, small bowls of haldi and kumkum and marigold heads on a woven mat in morning light. Text: 'Til-gud in hand, a sweeter year ahead'.</t>
  </si>
  <si>
    <t xml:space="preserve">Happy Sankranti</t>
  </si>
  <si>
    <t xml:space="preserve">DAY-SAN_A</t>
  </si>
  <si>
    <t xml:space="preserve">Posts/199_2027-01-14_Single_F41_Makar-Sankranti-and-Pongal-greeting</t>
  </si>
  <si>
    <t xml:space="preserve">S29</t>
  </si>
  <si>
    <t xml:space="preserve">Per-function RSVP for UK Asian weddings</t>
  </si>
  <si>
    <t xml:space="preserve">One RSVP per function, not per wedding</t>
  </si>
  <si>
    <t xml:space="preserve">Répondez s'il vous plaît means "please reply". To which bit, though?
At a British Asian wedding, a single yes doesn't tell you much. Auntie might come to the ceremony but skip the mehndi, and your uni friends only want the reception.
With Lumhe, one wedding link holds every function. Each guest sees only the ones they're invited to and replies to each separately. You get a live headcount per function, ready for the caterer, the venue and the seating plan.
Share it on WhatsApp, text or email. No app, no login. Start yours at the link in bio.</t>
  </si>
  <si>
    <t xml:space="preserve">#Lumhe #RSVP #BritishAsianWedding #UKAsianWedding #HinduWeddingUK #MehndiNight #WeddingRSVP #AsianBrideUK #DesiWeddingUK #WeddingPlanningUK #MandapDecor #GuestList</t>
  </si>
  <si>
    <t xml:space="preserve">How many functions does your family's wedding have? Be honest 😄</t>
  </si>
  <si>
    <t xml:space="preserve">Watercolour illustration of a couple performing a wedding puja at a mandap. Text reads: One RSVP per function, not per wedding.</t>
  </si>
  <si>
    <t xml:space="preserve">Set up functions</t>
  </si>
  <si>
    <t xml:space="preserve">UK-70</t>
  </si>
  <si>
    <t xml:space="preserve">Rsvp Full Form: Complete Guide</t>
  </si>
  <si>
    <t xml:space="preserve">Posts/200_2027-01-14_Single_S29_Per-function-RSVP-for-UK-Asian-weddings</t>
  </si>
  <si>
    <t xml:space="preserve">Slide</t>
  </si>
  <si>
    <t xml:space="preserve">Kicker</t>
  </si>
  <si>
    <t xml:space="preserve">Headline</t>
  </si>
  <si>
    <t xml:space="preserve">Body</t>
  </si>
  <si>
    <t xml:space="preserve">Image</t>
  </si>
  <si>
    <t xml:space="preserve">File</t>
  </si>
  <si>
    <t xml:space="preserve">Navratri 2026</t>
  </si>
  <si>
    <t xml:space="preserve">Garba nights, Kanya Pujan and invite wording, sorted early.</t>
  </si>
  <si>
    <t xml:space="preserve">PAIR-NAV_A</t>
  </si>
  <si>
    <t xml:space="preserve">Posts/002_2026-10-07_Carousel_F01_Navratri-hosting-and-invite-guide/slide_01.jpg</t>
  </si>
  <si>
    <t xml:space="preserve">Invite wording</t>
  </si>
  <si>
    <t xml:space="preserve">Copy-paste lines for your Garba night</t>
  </si>
  <si>
    <t xml:space="preserve">"Chaniya choli ready? Join us for Garba under the lights on [Date], [Time] at [Venue]. Dandiya sticks provided, energy compulsory!"</t>
  </si>
  <si>
    <t xml:space="preserve">— (text card)</t>
  </si>
  <si>
    <t xml:space="preserve">Posts/002_2026-10-07_Carousel_F01_Navratri-hosting-and-invite-guide/slide_02.jpg</t>
  </si>
  <si>
    <t xml:space="preserve">Kanya Pujan</t>
  </si>
  <si>
    <t xml:space="preserve">Inviting little goddesses for Ashtami</t>
  </si>
  <si>
    <t xml:space="preserve">"Please send [Name] for Kanya Pujan on Ashtami, [Date], at ours. Puri, chana and halwa await!" Ask parents early so you cook the right amount.</t>
  </si>
  <si>
    <t xml:space="preserve">PAIR-NAV_B</t>
  </si>
  <si>
    <t xml:space="preserve">Posts/002_2026-10-07_Carousel_F01_Navratri-hosting-and-invite-guide/slide_03.jpg</t>
  </si>
  <si>
    <t xml:space="preserve">Host checklist</t>
  </si>
  <si>
    <t xml:space="preserve">Book these this week</t>
  </si>
  <si>
    <t xml:space="preserve">• Dhol or DJ, plus sound permission
• Dandiya sticks and a few spares
• A flat, non-slip floor
• Water, nimbu-paani and a snack counter</t>
  </si>
  <si>
    <t xml:space="preserve">Posts/002_2026-10-07_Carousel_F01_Navratri-hosting-and-invite-guide/slide_04.jpg</t>
  </si>
  <si>
    <t xml:space="preserve">Nine colours</t>
  </si>
  <si>
    <t xml:space="preserve">Put the colours in the invite</t>
  </si>
  <si>
    <t xml:space="preserve">Share the day-wise colour list so guests plan outfits early. Add a small prize for the best-dressed kid in each night's colour.</t>
  </si>
  <si>
    <t xml:space="preserve">Posts/002_2026-10-07_Carousel_F01_Navratri-hosting-and-invite-guide/slide_05.jpg</t>
  </si>
  <si>
    <t xml:space="preserve">With Lumhe</t>
  </si>
  <si>
    <t xml:space="preserve">One link for all nine nights</t>
  </si>
  <si>
    <t xml:space="preserve">Add each Garba night and Kanya Pujan as functions. Guests RSVP per night, you see a live headcount, and every twirl lands in one Moments album.</t>
  </si>
  <si>
    <t xml:space="preserve">Posts/002_2026-10-07_Carousel_F01_Navratri-hosting-and-invite-guide/slide_06.jpg</t>
  </si>
  <si>
    <t xml:space="preserve">Biyer card</t>
  </si>
  <si>
    <t xml:space="preserve">Bengali and English lines your family will approve.</t>
  </si>
  <si>
    <t xml:space="preserve">EV-E01_A</t>
  </si>
  <si>
    <t xml:space="preserve">Posts/003_2026-10-08_Carousel_E01_Bengali-biyer-card-wording-guide/slide_01.jpg</t>
  </si>
  <si>
    <t xml:space="preserve">At the top</t>
  </si>
  <si>
    <t xml:space="preserve">Start with Prajapati</t>
  </si>
  <si>
    <t xml:space="preserve">• Prajapataye Namah heads most cards
• A butterfly (prajapati) motif is the classic touch
• Parents' names come next, then the couple</t>
  </si>
  <si>
    <t xml:space="preserve">Posts/003_2026-10-08_Carousel_E01_Bengali-biyer-card-wording-guide/slide_02.jpg</t>
  </si>
  <si>
    <t xml:space="preserve">Bengali closing</t>
  </si>
  <si>
    <t xml:space="preserve">The line elders look for</t>
  </si>
  <si>
    <t xml:space="preserve">"Sabandhabe upasthit theke nabadampatike ashirbad kore badhito korben."
Please come with your loved ones and bless the newlyweds.</t>
  </si>
  <si>
    <t xml:space="preserve">EV-E01_B</t>
  </si>
  <si>
    <t xml:space="preserve">Posts/003_2026-10-08_Carousel_E01_Bengali-biyer-card-wording-guide/slide_03.jpg</t>
  </si>
  <si>
    <t xml:space="preserve">In English</t>
  </si>
  <si>
    <t xml:space="preserve">From the bride's parents</t>
  </si>
  <si>
    <t xml:space="preserve">"Mr and Mrs Subhash Ghosh request the pleasure of your company at the wedding of their daughter Rimi with Arnab, son of Mr and Mrs Partha Sen."</t>
  </si>
  <si>
    <t xml:space="preserve">Posts/003_2026-10-08_Carousel_E01_Bengali-biyer-card-wording-guide/slide_04.jpg</t>
  </si>
  <si>
    <t xml:space="preserve">Function list</t>
  </si>
  <si>
    <t xml:space="preserve">Give each ceremony a line</t>
  </si>
  <si>
    <t xml:space="preserve">• Ashirbaad: date, time, venue
• Gaye Holud: close family
• Biye: the main evening
• Bou Bhaat: hosted by the groom's family, often its own invite</t>
  </si>
  <si>
    <t xml:space="preserve">Posts/003_2026-10-08_Carousel_E01_Bengali-biyer-card-wording-guide/slide_05.jpg</t>
  </si>
  <si>
    <t xml:space="preserve">Every ceremony, its own RSVP</t>
  </si>
  <si>
    <t xml:space="preserve">Upload your card, share one link and see live headcounts for Biye and Bou Bhaat separately.</t>
  </si>
  <si>
    <t xml:space="preserve">Posts/003_2026-10-08_Carousel_E01_Bengali-biyer-card-wording-guide/slide_06.jpg</t>
  </si>
  <si>
    <t xml:space="preserve">Dussehra 2026</t>
  </si>
  <si>
    <t xml:space="preserve">Invite wording, a host checklist and what to plan this week.</t>
  </si>
  <si>
    <t xml:space="preserve">PAIR-DUS_A</t>
  </si>
  <si>
    <t xml:space="preserve">Posts/008_2026-10-10_Carousel_F04_Dussehra-get-together-planning-guide/slide_01.jpg</t>
  </si>
  <si>
    <t xml:space="preserve">For a family Dussehra lunch</t>
  </si>
  <si>
    <t xml:space="preserve">"Burai par acchai ki jeet ka jashn saath manayein! Join us for Dussehra lunch on [Date] at [Time], then we head to the Ravan Dahan together."</t>
  </si>
  <si>
    <t xml:space="preserve">Posts/008_2026-10-10_Carousel_F04_Dussehra-get-together-planning-guide/slide_02.jpg</t>
  </si>
  <si>
    <t xml:space="preserve">Society event</t>
  </si>
  <si>
    <t xml:space="preserve">For a colony Ravan Dahan</t>
  </si>
  <si>
    <t xml:space="preserve">• Share the ground and the effigy-burning slot
• Mention parking and where kids should stand
• Ask for RSVPs so you plan seating and snacks</t>
  </si>
  <si>
    <t xml:space="preserve">Posts/008_2026-10-10_Carousel_F04_Dussehra-get-together-planning-guide/slide_03.jpg</t>
  </si>
  <si>
    <t xml:space="preserve">Shami leaves</t>
  </si>
  <si>
    <t xml:space="preserve">The Maharashtrian 'sona' tradition</t>
  </si>
  <si>
    <t xml:space="preserve">Many families exchange shami or apta leaves as 'gold' on Dussehra. Add the line "Sona ghya, sonyasarkha raha" (take gold, stay precious as gold).</t>
  </si>
  <si>
    <t xml:space="preserve">PAIR-DUS_B</t>
  </si>
  <si>
    <t xml:space="preserve">Posts/008_2026-10-10_Carousel_F04_Dussehra-get-together-planning-guide/slide_04.jpg</t>
  </si>
  <si>
    <t xml:space="preserve">Book these before the crowds do</t>
  </si>
  <si>
    <t xml:space="preserve">• Ramlila or Dahan seats for elders
• Jalebi and fafda order, placed early
• A meet-up spot for after the effigy
• Ear protection for little ones</t>
  </si>
  <si>
    <t xml:space="preserve">Posts/008_2026-10-10_Carousel_F04_Dussehra-get-together-planning-guide/slide_05.jpg</t>
  </si>
  <si>
    <t xml:space="preserve">Lunch, Ramlila, Dahan: one link</t>
  </si>
  <si>
    <t xml:space="preserve">Add each plan as a function and see who's coming to which. Relatives far away can send a festive gift via Digital Lifafa, straight to your UPI.</t>
  </si>
  <si>
    <t xml:space="preserve">Posts/008_2026-10-10_Carousel_F04_Dussehra-get-together-planning-guide/slide_06.jpg</t>
  </si>
  <si>
    <t xml:space="preserve">Destination weddings</t>
  </si>
  <si>
    <t xml:space="preserve">Timing, wording and the details guests need to book.</t>
  </si>
  <si>
    <t xml:space="preserve">EV-E28_A</t>
  </si>
  <si>
    <t xml:space="preserve">Posts/010_2026-10-11_Carousel_E28_Destination-wedding-invite-timing-and-de/slide_01.jpg</t>
  </si>
  <si>
    <t xml:space="preserve">Timeline</t>
  </si>
  <si>
    <t xml:space="preserve">Send earlier than you think</t>
  </si>
  <si>
    <t xml:space="preserve">• Save-the-date: 9–12 months out
• Invitation: 3–4 months out
• RSVP deadline: 6–8 weeks before
• Put the room-block cutoff on the invite</t>
  </si>
  <si>
    <t xml:space="preserve">Posts/010_2026-10-11_Carousel_E28_Destination-wedding-invite-timing-and-de/slide_02.jpg</t>
  </si>
  <si>
    <t xml:space="preserve">Wording sample</t>
  </si>
  <si>
    <t xml:space="preserve">Warm, not a sales pitch</t>
  </si>
  <si>
    <t xml:space="preserve">"Pack your sandals! We're getting married by the sea and would love you there. Join us June 11–13 for three days of sun, dinner and dancing."</t>
  </si>
  <si>
    <t xml:space="preserve">Posts/010_2026-10-11_Carousel_E28_Destination-wedding-invite-timing-and-de/slide_03.jpg</t>
  </si>
  <si>
    <t xml:space="preserve">Must-include details</t>
  </si>
  <si>
    <t xml:space="preserve">Answer questions before guests ask them</t>
  </si>
  <si>
    <t xml:space="preserve">• Travel dates, not just the ceremony date
• Hotel and room-block code
• Nearest airport and transfers
• Dress code for the climate</t>
  </si>
  <si>
    <t xml:space="preserve">EV-E28_B</t>
  </si>
  <si>
    <t xml:space="preserve">Posts/010_2026-10-11_Carousel_E28_Destination-wedding-invite-timing-and-de/slide_04.jpg</t>
  </si>
  <si>
    <t xml:space="preserve">Etiquette</t>
  </si>
  <si>
    <t xml:space="preserve">Be clear about who covers what</t>
  </si>
  <si>
    <t xml:space="preserve">Guests usually book their own flights and rooms; hosts typically cover the welcome event and wedding meal. Put rates on your details page, not in the invitation lines.</t>
  </si>
  <si>
    <t xml:space="preserve">Posts/010_2026-10-11_Carousel_E28_Destination-wedding-invite-timing-and-de/slide_05.jpg</t>
  </si>
  <si>
    <t xml:space="preserve">One link for every time zone</t>
  </si>
  <si>
    <t xml:space="preserve">Share the invite, travel details and RSVP in one link. Guests reply without an app, then add their photos to Moments.</t>
  </si>
  <si>
    <t xml:space="preserve">Posts/010_2026-10-11_Carousel_E28_Destination-wedding-invite-timing-and-de/slide_06.jpg</t>
  </si>
  <si>
    <t xml:space="preserve">Hen do invites</t>
  </si>
  <si>
    <t xml:space="preserve">Wording, a planning checklist and the bit everyone forgets.</t>
  </si>
  <si>
    <t xml:space="preserve">EV-E44_A</t>
  </si>
  <si>
    <t xml:space="preserve">Posts/014_2026-10-13_Carousel_E44_Hen-party-invitations-wording-and-plan/slide_01.jpg</t>
  </si>
  <si>
    <t xml:space="preserve">Pick a tone</t>
  </si>
  <si>
    <t xml:space="preserve">Cheeky, classy or somewhere in between</t>
  </si>
  <si>
    <t xml:space="preserve">• Classy: 'In honour of [Bride], we request the pleasure of your company for a spa day and Prosecco.'
• Cheeky: 'Last fling before the ring. Bring sunglasses, not excuses.'</t>
  </si>
  <si>
    <t xml:space="preserve">Posts/014_2026-10-13_Carousel_E44_Hen-party-invitations-wording-and-plan/slide_02.jpg</t>
  </si>
  <si>
    <t xml:space="preserve">Must include</t>
  </si>
  <si>
    <t xml:space="preserve">What every hen needs to know upfront</t>
  </si>
  <si>
    <t xml:space="preserve">• Dates, town and where you're staying
• Rough cost per head and when deposits are due
• What to pack (fancy dress? swimsuit?)
• RSVP deadline</t>
  </si>
  <si>
    <t xml:space="preserve">EV-E44_B</t>
  </si>
  <si>
    <t xml:space="preserve">Posts/014_2026-10-13_Carousel_E44_Hen-party-invitations-wording-and-plan/slide_03.jpg</t>
  </si>
  <si>
    <t xml:space="preserve">Timing</t>
  </si>
  <si>
    <t xml:space="preserve">Weekend away? Give them two months, minimum</t>
  </si>
  <si>
    <t xml:space="preserve">Hens booking trains, time off and childcare need notice. Ask for deposits by a clear date so the booking isn't on your card alone.</t>
  </si>
  <si>
    <t xml:space="preserve">Posts/014_2026-10-13_Carousel_E44_Hen-party-invitations-wording-and-plan/slide_04.jpg</t>
  </si>
  <si>
    <t xml:space="preserve">Keep it secret</t>
  </si>
  <si>
    <t xml:space="preserve">Surprise activity? Keep the bride out of it</t>
  </si>
  <si>
    <t xml:space="preserve">• Leave the bride off the planning chat
• Tease a 'mystery activity' without spoilers
• Note dietary needs and who's driving</t>
  </si>
  <si>
    <t xml:space="preserve">Posts/014_2026-10-13_Carousel_E44_Hen-party-invitations-wording-and-plan/slide_05.jpg</t>
  </si>
  <si>
    <t xml:space="preserve">One link for every hen</t>
  </si>
  <si>
    <t xml:space="preserve">Upload your invite, share it in the group, track who's in, then pool every photo from the weekend in one Moments album.</t>
  </si>
  <si>
    <t xml:space="preserve">Posts/014_2026-10-13_Carousel_E44_Hen-party-invitations-wording-and-plan/slide_06.jpg</t>
  </si>
  <si>
    <t xml:space="preserve">New category</t>
  </si>
  <si>
    <t xml:space="preserve">Invites, RSVPs, photos and gifts, joined up in one link.</t>
  </si>
  <si>
    <t xml:space="preserve">Posts/015_2026-10-14_Carousel_E55_What-is-a-celebration-platform/slide_01.jpg</t>
  </si>
  <si>
    <t xml:space="preserve">The usual mess</t>
  </si>
  <si>
    <t xml:space="preserve">One party, five different channels</t>
  </si>
  <si>
    <t xml:space="preserve">Invites on WhatsApp. RSVPs in phone calls. Photos in Stories that vanish. Gifts in envelopes that go missing. The host stitches it together by hand.</t>
  </si>
  <si>
    <t xml:space="preserve">Posts/015_2026-10-14_Carousel_E55_What-is-a-celebration-platform/slide_02.jpg</t>
  </si>
  <si>
    <t xml:space="preserve">Invite + RSVP</t>
  </si>
  <si>
    <t xml:space="preserve">Guests see only what they're invited to</t>
  </si>
  <si>
    <t xml:space="preserve">• One link for the whole event
• Separate functions: ceremony, dinner, after-party
• A live headcount for each
• No app or login for guests</t>
  </si>
  <si>
    <t xml:space="preserve">Posts/015_2026-10-14_Carousel_E55_What-is-a-celebration-platform/slide_03.jpg</t>
  </si>
  <si>
    <t xml:space="preserve">Moments</t>
  </si>
  <si>
    <t xml:space="preserve">An album that doesn't expire</t>
  </si>
  <si>
    <t xml:space="preserve">Guests upload from the same link. Photos stay full quality and stay put, long after 24-hour Stories disappear.</t>
  </si>
  <si>
    <t xml:space="preserve">Posts/015_2026-10-14_Carousel_E55_What-is-a-celebration-platform/slide_04.jpg</t>
  </si>
  <si>
    <t xml:space="preserve">Gifting (India)</t>
  </si>
  <si>
    <t xml:space="preserve">Shagun straight to the host's UPI</t>
  </si>
  <si>
    <t xml:space="preserve">Digital Lifafa lets guests in India send cashless shagun by UPI, directly to the host. Lumhe never touches the money.</t>
  </si>
  <si>
    <t xml:space="preserve">Posts/015_2026-10-14_Carousel_E55_What-is-a-celebration-platform/slide_05.jpg</t>
  </si>
  <si>
    <t xml:space="preserve">That's Lumhe</t>
  </si>
  <si>
    <t xml:space="preserve">Free. One link. Every guest.</t>
  </si>
  <si>
    <t xml:space="preserve">Upload or design your invite, add your functions and share. Everything else lives on the same link.</t>
  </si>
  <si>
    <t xml:space="preserve">Posts/015_2026-10-14_Carousel_E55_What-is-a-celebration-platform/slide_06.jpg</t>
  </si>
  <si>
    <t xml:space="preserve">Before you send</t>
  </si>
  <si>
    <t xml:space="preserve">Five questions that matter more than the template gallery.</t>
  </si>
  <si>
    <t xml:space="preserve">US-15</t>
  </si>
  <si>
    <t xml:space="preserve">Posts/017_2026-10-15_Carousel_C24_Invite-platform-comparison-checklist/slide_01.jpg</t>
  </si>
  <si>
    <t xml:space="preserve">Guest experience</t>
  </si>
  <si>
    <t xml:space="preserve">Can guests reply without signing up?</t>
  </si>
  <si>
    <t xml:space="preserve">• Open from a text, WhatsApp or email
• RSVP without creating an account
• No app to download
Grandma's flip-phone test matters more than fancy animations.</t>
  </si>
  <si>
    <t xml:space="preserve">Posts/017_2026-10-15_Carousel_C24_Invite-platform-comparison-checklist/slide_02.jpg</t>
  </si>
  <si>
    <t xml:space="preserve">Your design</t>
  </si>
  <si>
    <t xml:space="preserve">Can you bring your own invite?</t>
  </si>
  <si>
    <t xml:space="preserve">If you already designed it in Canva, bought an Etsy file or have a video, check you can upload it as is, not rebuild it in someone else's template.</t>
  </si>
  <si>
    <t xml:space="preserve">UK-21</t>
  </si>
  <si>
    <t xml:space="preserve">Posts/017_2026-10-15_Carousel_C24_Invite-platform-comparison-checklist/slide_03.jpg</t>
  </si>
  <si>
    <t xml:space="preserve">RSVP depth</t>
  </si>
  <si>
    <t xml:space="preserve">One event or several?</t>
  </si>
  <si>
    <t xml:space="preserve">• Separate RSVPs for rehearsal dinner, ceremony and brunch
• Each guest sees only their events
• Live headcount per event for your caterer</t>
  </si>
  <si>
    <t xml:space="preserve">Posts/017_2026-10-15_Carousel_C24_Invite-platform-comparison-checklist/slide_04.jpg</t>
  </si>
  <si>
    <t xml:space="preserve">After the party</t>
  </si>
  <si>
    <t xml:space="preserve">What happens to the photos and the bill?</t>
  </si>
  <si>
    <t xml:space="preserve">• Is there a shared photo album guests can add to?
• Which designs or features are paid extras?
• Read the pricing page before you fall for a template.</t>
  </si>
  <si>
    <t xml:space="preserve">Posts/017_2026-10-15_Carousel_C24_Invite-platform-comparison-checklist/slide_05.jpg</t>
  </si>
  <si>
    <t xml:space="preserve">Where Lumhe fits</t>
  </si>
  <si>
    <t xml:space="preserve">Upload, share, track. Free.</t>
  </si>
  <si>
    <t xml:space="preserve">Upload any design or make one, share one link, get per-event RSVPs and a Moments album for everyone's photos. Guests never need an app.</t>
  </si>
  <si>
    <t xml:space="preserve">Posts/017_2026-10-15_Carousel_C24_Invite-platform-comparison-checklist/slide_06.jpg</t>
  </si>
  <si>
    <t xml:space="preserve">Pathirikai</t>
  </si>
  <si>
    <t xml:space="preserve">Lines and design cues for your kalyana pathirikai.</t>
  </si>
  <si>
    <t xml:space="preserve">Posts/019_2026-10-16_Carousel_E02_Tamil-kalyana-pathirikai-wording-and-des/slide_01.jpg</t>
  </si>
  <si>
    <t xml:space="preserve">First line</t>
  </si>
  <si>
    <t xml:space="preserve">Begin with the Pillaiyar Suzhi</t>
  </si>
  <si>
    <t xml:space="preserve">• The small உ symbol at the very top
• Then the family deity's name, if you use one
• Parents' names before the couple</t>
  </si>
  <si>
    <t xml:space="preserve">Posts/019_2026-10-16_Carousel_E02_Tamil-kalyana-pathirikai-wording-and-des/slide_02.jpg</t>
  </si>
  <si>
    <t xml:space="preserve">Tamil closing</t>
  </si>
  <si>
    <t xml:space="preserve">The request at the end</t>
  </si>
  <si>
    <t xml:space="preserve">"Thaangal sutram soozha varugai thandhu manamakkalai vaazhthi arula vendugirom."
We request you to come with your kin and bless the couple.</t>
  </si>
  <si>
    <t xml:space="preserve">Posts/019_2026-10-16_Carousel_E02_Tamil-kalyana-pathirikai-wording-and-des/slide_03.jpg</t>
  </si>
  <si>
    <t xml:space="preserve">For friends</t>
  </si>
  <si>
    <t xml:space="preserve">An English line</t>
  </si>
  <si>
    <t xml:space="preserve">"With the blessings of our elders, we invite you to the wedding of Meenakshi and Karthik. Your presence will make our day complete."</t>
  </si>
  <si>
    <t xml:space="preserve">Posts/019_2026-10-16_Carousel_E02_Tamil-kalyana-pathirikai-wording-and-des/slide_04.jpg</t>
  </si>
  <si>
    <t xml:space="preserve">Design cues</t>
  </si>
  <si>
    <t xml:space="preserve">Traditional, not dated</t>
  </si>
  <si>
    <t xml:space="preserve">• Kolam-style border or a temple gopuram outline
• Mango leaves and jasmine motifs
• Silk-saree colours: maroon, mustard, temple gold
• Keep the muhurtham time large</t>
  </si>
  <si>
    <t xml:space="preserve">Posts/019_2026-10-16_Carousel_E02_Tamil-kalyana-pathirikai-wording-and-des/slide_05.jpg</t>
  </si>
  <si>
    <t xml:space="preserve">Muhurtham and reception, sorted</t>
  </si>
  <si>
    <t xml:space="preserve">Upload your card, share one link and track who's coming to each event.</t>
  </si>
  <si>
    <t xml:space="preserve">Posts/019_2026-10-16_Carousel_E02_Tamil-kalyana-pathirikai-wording-and-des/slide_06.jpg</t>
  </si>
  <si>
    <t xml:space="preserve">Winter weddings</t>
  </si>
  <si>
    <t xml:space="preserve">Wording, timing and details for a December wedding.</t>
  </si>
  <si>
    <t xml:space="preserve">Posts/024_2026-10-18_Carousel_E30_Christmas-season-wedding-invitations/slide_01.jpg</t>
  </si>
  <si>
    <t xml:space="preserve">Send early</t>
  </si>
  <si>
    <t xml:space="preserve">December calendars fill up fast</t>
  </si>
  <si>
    <t xml:space="preserve">Holiday travel and office parties book out early. Send save-the-dates 8–10 months ahead and invitations 8–10 weeks before.</t>
  </si>
  <si>
    <t xml:space="preserve">Posts/024_2026-10-18_Carousel_E30_Christmas-season-wedding-invitations/slide_02.jpg</t>
  </si>
  <si>
    <t xml:space="preserve">Formal wording</t>
  </si>
  <si>
    <t xml:space="preserve">Classic, with a hint of the season</t>
  </si>
  <si>
    <t xml:space="preserve">"Together with their families, Claire Bennett and James Ortiz invite you to celebrate their marriage on Saturday, the nineteenth of December, at four o'clock."</t>
  </si>
  <si>
    <t xml:space="preserve">Posts/024_2026-10-18_Carousel_E30_Christmas-season-wedding-invitations/slide_03.jpg</t>
  </si>
  <si>
    <t xml:space="preserve">Playful wording</t>
  </si>
  <si>
    <t xml:space="preserve">'Tis the season to say yes</t>
  </si>
  <si>
    <t xml:space="preserve">"Our favorite season just got better. Join us for vows, mulled cider and a little holiday magic. Ugly sweaters strictly optional."</t>
  </si>
  <si>
    <t xml:space="preserve">Posts/024_2026-10-18_Carousel_E30_Christmas-season-wedding-invitations/slide_04.jpg</t>
  </si>
  <si>
    <t xml:space="preserve">Guest details</t>
  </si>
  <si>
    <t xml:space="preserve">Winter details guests will thank you for</t>
  </si>
  <si>
    <t xml:space="preserve">• Indoor or outdoor ceremony
• Coat check and parking
• Snow or ice backup plan
• Holiday-week hotel rates</t>
  </si>
  <si>
    <t xml:space="preserve">Posts/024_2026-10-18_Carousel_E30_Christmas-season-wedding-invitations/slide_05.jpg</t>
  </si>
  <si>
    <t xml:space="preserve">Update the link, not every guest</t>
  </si>
  <si>
    <t xml:space="preserve">Snow moves the ceremony indoors? Edit one link. Invite, RSVPs and every guest photo in Moments stay together.</t>
  </si>
  <si>
    <t xml:space="preserve">Posts/024_2026-10-18_Carousel_E30_Christmas-season-wedding-invitations/slide_06.jpg</t>
  </si>
  <si>
    <t xml:space="preserve">Invite wording, a puja checklist and gathering ideas for this year.</t>
  </si>
  <si>
    <t xml:space="preserve">PAIR-KC_A</t>
  </si>
  <si>
    <t xml:space="preserve">Posts/026_2026-10-19_Carousel_F07_Karva-Chauth-gathering-planning-guide/slide_01.jpg</t>
  </si>
  <si>
    <t xml:space="preserve">For the katha with your friends</t>
  </si>
  <si>
    <t xml:space="preserve">"Thali sajao, mehendi lagao! Join us for Karva Chauth katha and puja on [Date], [Address]. Bring your thali. Dinner after moonrise, at ours."</t>
  </si>
  <si>
    <t xml:space="preserve">Posts/026_2026-10-19_Carousel_F07_Karva-Chauth-gathering-planning-guide/slide_02.jpg</t>
  </si>
  <si>
    <t xml:space="preserve">Mehendi evening</t>
  </si>
  <si>
    <t xml:space="preserve">Host a mehendi night the day before</t>
  </si>
  <si>
    <t xml:space="preserve">• Book the mehendi artist now; dates fill fast
• Count hands, not guests
• Serve snacks you can eat with wet hands</t>
  </si>
  <si>
    <t xml:space="preserve">PAIR-KC_B</t>
  </si>
  <si>
    <t xml:space="preserve">Posts/026_2026-10-19_Carousel_F07_Karva-Chauth-gathering-planning-guide/slide_03.jpg</t>
  </si>
  <si>
    <t xml:space="preserve">Puja checklist</t>
  </si>
  <si>
    <t xml:space="preserve">What every thali needs</t>
  </si>
  <si>
    <t xml:space="preserve">• Karva, the clay or metal pot
• Channi, the sieve for the moon
• Diya, roli, rice and sweets
• Water to break the fast</t>
  </si>
  <si>
    <t xml:space="preserve">Posts/026_2026-10-19_Carousel_F07_Karva-Chauth-gathering-planning-guide/slide_04.jpg</t>
  </si>
  <si>
    <t xml:space="preserve">Moonrise plan</t>
  </si>
  <si>
    <t xml:space="preserve">Pick a rooftop, and a backup</t>
  </si>
  <si>
    <t xml:space="preserve">Choose a terrace with a clear view of the sky and agree a plan if clouds roll in. Send one moonrise update to everyone instead of fifty calls.</t>
  </si>
  <si>
    <t xml:space="preserve">Posts/026_2026-10-19_Carousel_F07_Karva-Chauth-gathering-planning-guide/slide_05.jpg</t>
  </si>
  <si>
    <t xml:space="preserve">One link from mehendi to moonrise</t>
  </si>
  <si>
    <t xml:space="preserve">Add the mehendi evening and the katha as separate functions, track RSVPs live, keep every sieve-and-moon photo in Moments, and send gifts via Digital Lifafa.</t>
  </si>
  <si>
    <t xml:space="preserve">Posts/026_2026-10-19_Carousel_F07_Karva-Chauth-gathering-planning-guide/slide_06.jpg</t>
  </si>
  <si>
    <t xml:space="preserve">Wedding RSVPs</t>
  </si>
  <si>
    <t xml:space="preserve">Get the right answers from day and evening guests.</t>
  </si>
  <si>
    <t xml:space="preserve">Posts/029_2026-10-21_Carousel_E48_Wedding-RSVP-website-guide-UK/slide_01.jpg</t>
  </si>
  <si>
    <t xml:space="preserve">Ask this</t>
  </si>
  <si>
    <t xml:space="preserve">Questions worth asking on the form</t>
  </si>
  <si>
    <t xml:space="preserve">• Attending: yes or no
• Names of everyone in the party
• Dietary requirements and allergies
• A song request (optional, but fun)</t>
  </si>
  <si>
    <t xml:space="preserve">Posts/029_2026-10-21_Carousel_E48_Wedding-RSVP-website-guide-UK/slide_02.jpg</t>
  </si>
  <si>
    <t xml:space="preserve">Day vs evening</t>
  </si>
  <si>
    <t xml:space="preserve">Two guest lists, two sets of questions</t>
  </si>
  <si>
    <t xml:space="preserve">Evening guests don't need the wedding breakfast menu. Show each guest only the parts of the day they're invited to, and count each separately.</t>
  </si>
  <si>
    <t xml:space="preserve">Posts/029_2026-10-21_Carousel_E48_Wedding-RSVP-website-guide-UK/slide_03.jpg</t>
  </si>
  <si>
    <t xml:space="preserve">Deadline</t>
  </si>
  <si>
    <t xml:space="preserve">Set a reply-by date before the caterer's</t>
  </si>
  <si>
    <t xml:space="preserve">Caterers and venues usually want final numbers a few weeks out. Set your RSVP deadline a fortnight before that, so you have time to chase.</t>
  </si>
  <si>
    <t xml:space="preserve">Posts/029_2026-10-21_Carousel_E48_Wedding-RSVP-website-guide-UK/slide_04.jpg</t>
  </si>
  <si>
    <t xml:space="preserve">Easy replies</t>
  </si>
  <si>
    <t xml:space="preserve">Make the reply take ten seconds</t>
  </si>
  <si>
    <t xml:space="preserve">• No account or password for guests
• Works on any phone
• One link they can find again in their messages
• A clear yes or no</t>
  </si>
  <si>
    <t xml:space="preserve">Posts/029_2026-10-21_Carousel_E48_Wedding-RSVP-website-guide-UK/slide_05.jpg</t>
  </si>
  <si>
    <t xml:space="preserve">Every reply counted, live</t>
  </si>
  <si>
    <t xml:space="preserve">Upload your invitation, add the ceremony and evening reception as separate functions, share one link and watch the headcount for each.</t>
  </si>
  <si>
    <t xml:space="preserve">Posts/029_2026-10-21_Carousel_E48_Wedding-RSVP-website-guide-UK/slide_06.jpg</t>
  </si>
  <si>
    <t xml:space="preserve">Halloween 2026</t>
  </si>
  <si>
    <t xml:space="preserve">Wording and a host plan for Saturday, October 31.</t>
  </si>
  <si>
    <t xml:space="preserve">US-72</t>
  </si>
  <si>
    <t xml:space="preserve">Posts/030_2026-10-21_Carousel_F10_Halloween-invite-wording-and-host-plan/slide_01.jpg</t>
  </si>
  <si>
    <t xml:space="preserve">Spooky wording</t>
  </si>
  <si>
    <t xml:space="preserve">For the grown-up haunted soirée</t>
  </si>
  <si>
    <t xml:space="preserve">"Enter if you dare. An evening of frights and cocktails, [Date], [Time], [Address]. Costumes required. Courage optional. Adults only, ghouls."</t>
  </si>
  <si>
    <t xml:space="preserve">Posts/030_2026-10-21_Carousel_F10_Halloween-invite-wording-and-host-plan/slide_02.jpg</t>
  </si>
  <si>
    <t xml:space="preserve">Family party</t>
  </si>
  <si>
    <t xml:space="preserve">For costumes, candy and little monsters</t>
  </si>
  <si>
    <t xml:space="preserve">"Little ghouls welcome! Trick-or-treat on our street, then pizza and a costume parade at ours. [Date], [Time]. Siblings welcome, parents too."</t>
  </si>
  <si>
    <t xml:space="preserve">Posts/030_2026-10-21_Carousel_F10_Halloween-invite-wording-and-host-plan/slide_03.jpg</t>
  </si>
  <si>
    <t xml:space="preserve">Answer upfront</t>
  </si>
  <si>
    <t xml:space="preserve">The two lines that stop the DMs</t>
  </si>
  <si>
    <t xml:space="preserve">• Costume: required, optional or come as you are
• Kids: welcome, adults only, or a set age
• Bonus: an allergy note for the candy bowl</t>
  </si>
  <si>
    <t xml:space="preserve">US-50</t>
  </si>
  <si>
    <t xml:space="preserve">Posts/030_2026-10-21_Carousel_F10_Halloween-invite-wording-and-host-plan/slide_04.jpg</t>
  </si>
  <si>
    <t xml:space="preserve">Host timeline</t>
  </si>
  <si>
    <t xml:space="preserve">Ten days out, here's the plan</t>
  </si>
  <si>
    <t xml:space="preserve">• Now: send invites
• Next weekend: candy, decor, contest prize
• Thursday: carve pumpkins so they stay fresh
• Saturday: porch lights on, doors open</t>
  </si>
  <si>
    <t xml:space="preserve">Posts/030_2026-10-21_Carousel_F10_Halloween-invite-wording-and-host-plan/slide_05.jpg</t>
  </si>
  <si>
    <t xml:space="preserve">One link for the whole haunt</t>
  </si>
  <si>
    <t xml:space="preserve">Upload your Canva design or make one, share the link by text, and let guests RSVP in a tap. After, everyone's photos land in one Moments album.</t>
  </si>
  <si>
    <t xml:space="preserve">Posts/030_2026-10-21_Carousel_F10_Halloween-invite-wording-and-host-plan/slide_06.jpg</t>
  </si>
  <si>
    <t xml:space="preserve">Online RSVP</t>
  </si>
  <si>
    <t xml:space="preserve">How online RSVP works when your wedding is more than one event.</t>
  </si>
  <si>
    <t xml:space="preserve">Posts/032_2026-10-22_Carousel_E59_Online-wedding-RSVP-per-function-guide/slide_01.jpg</t>
  </si>
  <si>
    <t xml:space="preserve">The old way</t>
  </si>
  <si>
    <t xml:space="preserve">Week three, and you're still guessing</t>
  </si>
  <si>
    <t xml:space="preserve">Calls from your mother, texts to cousins, a half-filled spreadsheet. Then the caterer asks for numbers and you say '350, maybe 420'.</t>
  </si>
  <si>
    <t xml:space="preserve">Posts/032_2026-10-22_Carousel_E59_Online-wedding-RSVP-per-function-guide/slide_02.jpg</t>
  </si>
  <si>
    <t xml:space="preserve">How it works</t>
  </si>
  <si>
    <t xml:space="preserve">One link, a tap per function</t>
  </si>
  <si>
    <t xml:space="preserve">• Guest opens the invite link
• Sees only the functions they're invited to
• Taps attending or not for each
• You see the counts update live</t>
  </si>
  <si>
    <t xml:space="preserve">Posts/032_2026-10-22_Carousel_E59_Online-wedding-RSVP-per-function-guide/slide_03.jpg</t>
  </si>
  <si>
    <t xml:space="preserve">Set it up</t>
  </si>
  <si>
    <t xml:space="preserve">Build your guest groups first</t>
  </si>
  <si>
    <t xml:space="preserve">Group guests before you send: close family for the Haldi, friends for the Sangeet, everyone for the Reception. Assign each group its functions once.</t>
  </si>
  <si>
    <t xml:space="preserve">Posts/032_2026-10-22_Carousel_E59_Online-wedding-RSVP-per-function-guide/slide_04.jpg</t>
  </si>
  <si>
    <t xml:space="preserve">Late repliers</t>
  </si>
  <si>
    <t xml:space="preserve">For the guests who never answer</t>
  </si>
  <si>
    <t xml:space="preserve">• Put a clear reply-by date on the invite
• Resend the same link, not a new one
• Ask one family member per side to follow up</t>
  </si>
  <si>
    <t xml:space="preserve">Posts/032_2026-10-22_Carousel_E59_Online-wedding-RSVP-per-function-guide/slide_05.jpg</t>
  </si>
  <si>
    <t xml:space="preserve">Per-function RSVP, free</t>
  </si>
  <si>
    <t xml:space="preserve">Upload your invite or design one, add every function and share one link on WhatsApp, SMS or email. No app, no login for guests.</t>
  </si>
  <si>
    <t xml:space="preserve">Posts/032_2026-10-22_Carousel_E59_Online-wedding-RSVP-per-function-guide/slide_06.jpg</t>
  </si>
  <si>
    <t xml:space="preserve">Kankotri</t>
  </si>
  <si>
    <t xml:space="preserve">Lines, order and functions for your kankotri.</t>
  </si>
  <si>
    <t xml:space="preserve">EV-E05_A</t>
  </si>
  <si>
    <t xml:space="preserve">Posts/035_2026-10-24_Carousel_E05_Gujarati-kankotri-wording-and-functions/slide_01.jpg</t>
  </si>
  <si>
    <t xml:space="preserve">Before anyone</t>
  </si>
  <si>
    <t xml:space="preserve">The first kankotri goes to Ganesh</t>
  </si>
  <si>
    <t xml:space="preserve">• Many families offer the first card at home or at a temple
• Then cards go to close family
• Then everyone else</t>
  </si>
  <si>
    <t xml:space="preserve">Posts/035_2026-10-24_Carousel_E05_Gujarati-kankotri-wording-and-functions/slide_02.jpg</t>
  </si>
  <si>
    <t xml:space="preserve">Tahuko</t>
  </si>
  <si>
    <t xml:space="preserve">A two-line poetic opening</t>
  </si>
  <si>
    <t xml:space="preserve">• Sits at the top, under the invocation
• Expresses joy and blessings for the couple
• Keep it short: two rhyming lines read best</t>
  </si>
  <si>
    <t xml:space="preserve">Posts/035_2026-10-24_Carousel_E05_Gujarati-kankotri-wording-and-functions/slide_03.jpg</t>
  </si>
  <si>
    <t xml:space="preserve">Gujarati closing</t>
  </si>
  <si>
    <t xml:space="preserve">The warm request</t>
  </si>
  <si>
    <t xml:space="preserve">"Aap sahkutumb padhaari amara anand ma sahbhaagi thasho."
Please come with your family and share in our joy.</t>
  </si>
  <si>
    <t xml:space="preserve">Posts/035_2026-10-24_Carousel_E05_Gujarati-kankotri-wording-and-functions/slide_04.jpg</t>
  </si>
  <si>
    <t xml:space="preserve">Print each one clearly</t>
  </si>
  <si>
    <t xml:space="preserve">• Mandvo Muhurat
• Pithi (haldi)
• Raas-garba night
• Jaan aagman and Hast Melap</t>
  </si>
  <si>
    <t xml:space="preserve">EV-E05_B</t>
  </si>
  <si>
    <t xml:space="preserve">Posts/035_2026-10-24_Carousel_E05_Gujarati-kankotri-wording-and-functions/slide_05.jpg</t>
  </si>
  <si>
    <t xml:space="preserve">Every function, its own headcount</t>
  </si>
  <si>
    <t xml:space="preserve">Upload your kankotri, share one link and see who's coming to the garba night.</t>
  </si>
  <si>
    <t xml:space="preserve">Posts/035_2026-10-24_Carousel_E05_Gujarati-kankotri-wording-and-functions/slide_06.jpg</t>
  </si>
  <si>
    <t xml:space="preserve">Dinner party</t>
  </si>
  <si>
    <t xml:space="preserve">Invite wording for formal, casual and themed nights.</t>
  </si>
  <si>
    <t xml:space="preserve">EV-E33_A</t>
  </si>
  <si>
    <t xml:space="preserve">Posts/037_2026-10-25_Carousel_E33_Dinner-party-invite-wording-by-vibe/slide_01.jpg</t>
  </si>
  <si>
    <t xml:space="preserve">Formal</t>
  </si>
  <si>
    <t xml:space="preserve">Candles, courses and a dress code</t>
  </si>
  <si>
    <t xml:space="preserve">"The pleasure of your company is requested for dinner on Saturday, November 14, at seven o'clock. Cocktail attire. Kindly reply by November 7."</t>
  </si>
  <si>
    <t xml:space="preserve">Posts/037_2026-10-25_Carousel_E33_Dinner-party-invite-wording-by-vibe/slide_02.jpg</t>
  </si>
  <si>
    <t xml:space="preserve">Casual</t>
  </si>
  <si>
    <t xml:space="preserve">Weeknight pasta, good wine</t>
  </si>
  <si>
    <t xml:space="preserve">"Pasta night at ours! Friday, 7-ish. Bring your appetite and that story you keep promising to tell. Reply so I make enough."</t>
  </si>
  <si>
    <t xml:space="preserve">Posts/037_2026-10-25_Carousel_E33_Dinner-party-invite-wording-by-vibe/slide_03.jpg</t>
  </si>
  <si>
    <t xml:space="preserve">Themed</t>
  </si>
  <si>
    <t xml:space="preserve">A supper club with a destination</t>
  </si>
  <si>
    <t xml:space="preserve">"Passports ready: this month our supper club travels to Lisbon. Saturday at 7. Come hungry, leave with a recipe."</t>
  </si>
  <si>
    <t xml:space="preserve">EV-E33_B</t>
  </si>
  <si>
    <t xml:space="preserve">Posts/037_2026-10-25_Carousel_E33_Dinner-party-invite-wording-by-vibe/slide_04.jpg</t>
  </si>
  <si>
    <t xml:space="preserve">What every dinner invite should say</t>
  </si>
  <si>
    <t xml:space="preserve">• Date, time and dinner vs drinks
• Address and parking
• Dress code or vibe
• A question about dietary needs</t>
  </si>
  <si>
    <t xml:space="preserve">Posts/037_2026-10-25_Carousel_E33_Dinner-party-invite-wording-by-vibe/slide_05.jpg</t>
  </si>
  <si>
    <t xml:space="preserve">Know the headcount before you shop</t>
  </si>
  <si>
    <t xml:space="preserve">Send one link and watch RSVPs update live. Afterward, everyone's photos from the night go into one Moments album.</t>
  </si>
  <si>
    <t xml:space="preserve">Posts/037_2026-10-25_Carousel_E33_Dinner-party-invite-wording-by-vibe/slide_06.jpg</t>
  </si>
  <si>
    <t xml:space="preserve">Wording, a safety-first checklist and garden party ideas.</t>
  </si>
  <si>
    <t xml:space="preserve">PAIR-BON_A</t>
  </si>
  <si>
    <t xml:space="preserve">Posts/040_2026-10-26_Carousel_F12_Bonfire-Night-garden-party-guide/slide_01.jpg</t>
  </si>
  <si>
    <t xml:space="preserve">For a garden bonfire with friends</t>
  </si>
  <si>
    <t xml:space="preserve">"Wrap up warm! Bonfire, sparklers and toffee apples at ours on Thursday 5 November from 6pm. Bring a torch and your loudest 'ooh'."</t>
  </si>
  <si>
    <t xml:space="preserve">Posts/040_2026-10-26_Carousel_F12_Bonfire-Night-garden-party-guide/slide_02.jpg</t>
  </si>
  <si>
    <t xml:space="preserve">Park display</t>
  </si>
  <si>
    <t xml:space="preserve">Heading to a public display instead?</t>
  </si>
  <si>
    <t xml:space="preserve">"We're off to the [Park] fireworks. Meet at the main gate at 6.30pm, then back to ours for soup and parkin."</t>
  </si>
  <si>
    <t xml:space="preserve">Posts/040_2026-10-26_Carousel_F12_Bonfire-Night-garden-party-guide/slide_03.jpg</t>
  </si>
  <si>
    <t xml:space="preserve">Safety first</t>
  </si>
  <si>
    <t xml:space="preserve">The host checklist</t>
  </si>
  <si>
    <t xml:space="preserve">• Build the bonfire on the day and check it for hedgehogs
• Buckets of water and sand nearby
• Gloves for sparklers, especially for children
• Tell the neighbours your plans</t>
  </si>
  <si>
    <t xml:space="preserve">Posts/040_2026-10-26_Carousel_F12_Bonfire-Night-garden-party-guide/slide_04.jpg</t>
  </si>
  <si>
    <t xml:space="preserve">Food and warmth</t>
  </si>
  <si>
    <t xml:space="preserve">What to serve round the fire</t>
  </si>
  <si>
    <t xml:space="preserve">• Toffee apples and parkin
• Jacket potatoes and sausages in buns
• Hot chocolate with marshmallows
• A pile of spare blankets by the door</t>
  </si>
  <si>
    <t xml:space="preserve">PAIR-BON_B</t>
  </si>
  <si>
    <t xml:space="preserve">Posts/040_2026-10-26_Carousel_F12_Bonfire-Night-garden-party-guide/slide_05.jpg</t>
  </si>
  <si>
    <t xml:space="preserve">One link, every sparkler snap</t>
  </si>
  <si>
    <t xml:space="preserve">Share one link by WhatsApp or text, see who's coming (and how many children), and gather every firework photo in a Moments album that doesn't blur or expire.</t>
  </si>
  <si>
    <t xml:space="preserve">Posts/040_2026-10-26_Carousel_F12_Bonfire-Night-garden-party-guide/slide_06.jpg</t>
  </si>
  <si>
    <t xml:space="preserve">Dhanteras 2026</t>
  </si>
  <si>
    <t xml:space="preserve">Shopping list, puja invite and gifting ideas for 6 November.</t>
  </si>
  <si>
    <t xml:space="preserve">PAIR-DHA_A</t>
  </si>
  <si>
    <t xml:space="preserve">Posts/041_2026-10-27_Carousel_F15_Dhanteras-puja-and-gifting-guide/slide_01.jpg</t>
  </si>
  <si>
    <t xml:space="preserve">Shopping list</t>
  </si>
  <si>
    <t xml:space="preserve">What families traditionally buy</t>
  </si>
  <si>
    <t xml:space="preserve">• A gold or silver coin
• New steel, brass or copper utensils
• A new broom, in many homes
• Fresh diyas for the doorstep</t>
  </si>
  <si>
    <t xml:space="preserve">PAIR-DHA_B</t>
  </si>
  <si>
    <t xml:space="preserve">Posts/041_2026-10-27_Carousel_F15_Dhanteras-puja-and-gifting-guide/slide_02.jpg</t>
  </si>
  <si>
    <t xml:space="preserve">For a Dhanteras puja at home</t>
  </si>
  <si>
    <t xml:space="preserve">"Aapke aane se hamari puja aur bhi shubh ho jaayegi. Join us for Dhanteras puja and dinner on Friday, 6 November, [Time], [Address]."</t>
  </si>
  <si>
    <t xml:space="preserve">Posts/041_2026-10-27_Carousel_F15_Dhanteras-puja-and-gifting-guide/slide_03.jpg</t>
  </si>
  <si>
    <t xml:space="preserve">Doorstep glow</t>
  </si>
  <si>
    <t xml:space="preserve">Light the first diyas of Diwali week</t>
  </si>
  <si>
    <t xml:space="preserve">Place diyas at the main door and add a rangoli with little footprints walking in. Make it a family job: kids paint, elders light.</t>
  </si>
  <si>
    <t xml:space="preserve">Posts/041_2026-10-27_Carousel_F15_Dhanteras-puja-and-gifting-guide/slide_04.jpg</t>
  </si>
  <si>
    <t xml:space="preserve">Gifting ideas</t>
  </si>
  <si>
    <t xml:space="preserve">Gifts that feel like Dhanteras</t>
  </si>
  <si>
    <t xml:space="preserve">• A silver coin for a newborn niece
• A brass diya set for newlyweds
• Steel tiffins for new flatmates
• Shagun by UPI for relatives far away</t>
  </si>
  <si>
    <t xml:space="preserve">Posts/041_2026-10-27_Carousel_F15_Dhanteras-puja-and-gifting-guide/slide_05.jpg</t>
  </si>
  <si>
    <t xml:space="preserve">Dhanteras to Bhai Dooj, one link</t>
  </si>
  <si>
    <t xml:space="preserve">Add the puja, Diwali dinner and Bhai Dooj as functions. Guests RSVP per evening, and family abroad can send shagun with Digital Lifafa, straight to your UPI.</t>
  </si>
  <si>
    <t xml:space="preserve">Posts/041_2026-10-27_Carousel_F15_Dhanteras-puja-and-gifting-guide/slide_06.jpg</t>
  </si>
  <si>
    <t xml:space="preserve">RSVP, decoded</t>
  </si>
  <si>
    <t xml:space="preserve">And how to make guests actually do it.</t>
  </si>
  <si>
    <t xml:space="preserve">UK-68</t>
  </si>
  <si>
    <t xml:space="preserve">Posts/044_2026-10-28_Carousel_C04_RSVP-meaning-and-getting-replies/slide_01.jpg</t>
  </si>
  <si>
    <t xml:space="preserve">The French bit</t>
  </si>
  <si>
    <t xml:space="preserve">Répondez s'il vous plaît</t>
  </si>
  <si>
    <t xml:space="preserve">It means "please reply". So skip "Please RSVP" (that's please twice) and simply write "RSVP by Friday 3 April".</t>
  </si>
  <si>
    <t xml:space="preserve">Posts/044_2026-10-28_Carousel_C04_RSVP-meaning-and-getting-replies/slide_02.jpg</t>
  </si>
  <si>
    <t xml:space="preserve">Both count</t>
  </si>
  <si>
    <t xml:space="preserve">A 'no' is as useful as a 'yes'</t>
  </si>
  <si>
    <t xml:space="preserve">Hosts plan food and seats from replies. Silence is the only wrong answer. "Regrets only" flips it: reply only if you can't come.</t>
  </si>
  <si>
    <t xml:space="preserve">Posts/044_2026-10-28_Carousel_C04_RSVP-meaning-and-getting-replies/slide_03.jpg</t>
  </si>
  <si>
    <t xml:space="preserve">Wording</t>
  </si>
  <si>
    <t xml:space="preserve">Lines that get replies</t>
  </si>
  <si>
    <t xml:space="preserve">• Kindly reply by Friday 3 April
• Let us know by 1 May so we can save you a seat
• Tap the link to reply. It takes ten seconds.</t>
  </si>
  <si>
    <t xml:space="preserve">US-38</t>
  </si>
  <si>
    <t xml:space="preserve">Posts/044_2026-10-28_Carousel_C04_RSVP-meaning-and-getting-replies/slide_04.jpg</t>
  </si>
  <si>
    <t xml:space="preserve">Chasing</t>
  </si>
  <si>
    <t xml:space="preserve">Nudge without the awkwardness</t>
  </si>
  <si>
    <t xml:space="preserve">Set the deadline three to four weeks before the day. Send one friendly reminder a week before it, then ring the stragglers personally.</t>
  </si>
  <si>
    <t xml:space="preserve">Posts/044_2026-10-28_Carousel_C04_RSVP-meaning-and-getting-replies/slide_05.jpg</t>
  </si>
  <si>
    <t xml:space="preserve">Replies in one tap, not weeks</t>
  </si>
  <si>
    <t xml:space="preserve">Guests reply from one link, with no app and no login. You see the live headcount for each part of the day.</t>
  </si>
  <si>
    <t xml:space="preserve">Posts/044_2026-10-28_Carousel_C04_RSVP-meaning-and-getting-replies/slide_06.jpg</t>
  </si>
  <si>
    <t xml:space="preserve">DIWALI 2026</t>
  </si>
  <si>
    <t xml:space="preserve">Guest list, invites and gifts, sorted before the rush.</t>
  </si>
  <si>
    <t xml:space="preserve">IN-5</t>
  </si>
  <si>
    <t xml:space="preserve">Posts/046_2026-10-29_Carousel_F18_Diwali-hosting-countdown-ten-days-out/slide_01.jpg</t>
  </si>
  <si>
    <t xml:space="preserve">DAY 10</t>
  </si>
  <si>
    <t xml:space="preserve">Decide the format first</t>
  </si>
  <si>
    <t xml:space="preserve">• Lakshmi Pujan with close family, or a full Diwali party?
• Lunch, dinner or just mithai and diyas?
• Count elders, kids and who's travelling in</t>
  </si>
  <si>
    <t xml:space="preserve">Posts/046_2026-10-29_Carousel_F18_Diwali-hosting-countdown-ten-days-out/slide_02.jpg</t>
  </si>
  <si>
    <t xml:space="preserve">DAY 9</t>
  </si>
  <si>
    <t xml:space="preserve">Send the invite, wording ready</t>
  </si>
  <si>
    <t xml:space="preserve">Puja: "Is Deepavali, Lakshmi Pujan ke shubh avsar par aapki upasthiti prarthaniya hai."
Party: "Diyas, dinner and far too much mithai. Join us on [date]!"</t>
  </si>
  <si>
    <t xml:space="preserve">Posts/046_2026-10-29_Carousel_F18_Diwali-hosting-countdown-ten-days-out/slide_03.jpg</t>
  </si>
  <si>
    <t xml:space="preserve">DAY 7</t>
  </si>
  <si>
    <t xml:space="preserve">Plan the gift hampers</t>
  </si>
  <si>
    <t xml:space="preserve">• Family: dry fruits, mithai and a pair of diyas
• Friends: scented candles, chocolates or a plant
• Colleagues: a neat box, fixed budget
• Order early; delivery slots fill up</t>
  </si>
  <si>
    <t xml:space="preserve">UK-65</t>
  </si>
  <si>
    <t xml:space="preserve">Posts/046_2026-10-29_Carousel_F18_Diwali-hosting-countdown-ten-days-out/slide_04.jpg</t>
  </si>
  <si>
    <t xml:space="preserve">FINAL 3 DAYS</t>
  </si>
  <si>
    <t xml:space="preserve">The last-stretch checklist</t>
  </si>
  <si>
    <t xml:space="preserve">• Confirm final numbers with the halwai or caterer
• Rangoli colours, diyas and marigold torans
• Extra plates for surprise guests
• One cousin on photo duty</t>
  </si>
  <si>
    <t xml:space="preserve">Posts/046_2026-10-29_Carousel_F18_Diwali-hosting-countdown-ten-days-out/slide_05.jpg</t>
  </si>
  <si>
    <t xml:space="preserve">WITH LUMHE</t>
  </si>
  <si>
    <t xml:space="preserve">Your whole Diwali, one link</t>
  </si>
  <si>
    <t xml:space="preserve">Invite and RSVP in one Lumhe link. Moments keeps every rangoli photo, and Digital Lifafa lets faraway relatives send their Diwali gift by UPI, straight to you.</t>
  </si>
  <si>
    <t xml:space="preserve">Posts/046_2026-10-29_Carousel_F18_Diwali-hosting-countdown-ten-days-out/slide_06.jpg</t>
  </si>
  <si>
    <t xml:space="preserve">BHAI DOOJ</t>
  </si>
  <si>
    <t xml:space="preserve">Celebrating siblings, near or far.</t>
  </si>
  <si>
    <t xml:space="preserve">Posts/049_2026-10-31_Carousel_C35_Bhai-Dooj-rituals-wishes-and-lifafa/slide_01.jpg</t>
  </si>
  <si>
    <t xml:space="preserve">THE RITUAL</t>
  </si>
  <si>
    <t xml:space="preserve">What happens on Bhai Dooj</t>
  </si>
  <si>
    <t xml:space="preserve">• Sister applies tilak and performs aarti
• Brother is fed mithai, often a home-cooked meal
• Brother gives a gift or shagun
• Bhau Beej in Maharashtra, Bhai Phonta in Bengal</t>
  </si>
  <si>
    <t xml:space="preserve">Posts/049_2026-10-31_Carousel_C35_Bhai-Dooj-rituals-wishes-and-lifafa/slide_02.jpg</t>
  </si>
  <si>
    <t xml:space="preserve">WISHES</t>
  </si>
  <si>
    <t xml:space="preserve">Messages to send your sibling</t>
  </si>
  <si>
    <t xml:space="preserve">• Bhai Dooj ki hardik shubhkamnayein, mere pyaare bhai!
• Tilak from far, love from near. Happy Bhai Dooj, didi.
• Bhaubeejechya hardik shubhechha!</t>
  </si>
  <si>
    <t xml:space="preserve">Posts/049_2026-10-31_Carousel_C35_Bhai-Dooj-rituals-wishes-and-lifafa/slide_03.jpg</t>
  </si>
  <si>
    <t xml:space="preserve">GIFT IDEAS</t>
  </si>
  <si>
    <t xml:space="preserve">Gifts siblings actually love</t>
  </si>
  <si>
    <t xml:space="preserve">• A handwritten letter with old photos
• Their favourite mithai from your hometown
• A shared plan: movie, trek or dinner
• Shagun, sent instantly when you're far apart</t>
  </si>
  <si>
    <t xml:space="preserve">Posts/049_2026-10-31_Carousel_C35_Bhai-Dooj-rituals-wishes-and-lifafa/slide_04.jpg</t>
  </si>
  <si>
    <t xml:space="preserve">FAR APART?</t>
  </si>
  <si>
    <t xml:space="preserve">A video-call Bhai Dooj that works</t>
  </si>
  <si>
    <t xml:space="preserve">• Fix the time a day before, across time zones
• Keep roli, rice and a diya ready on both ends
• Eat the same sweet together on the call</t>
  </si>
  <si>
    <t xml:space="preserve">Posts/049_2026-10-31_Carousel_C35_Bhai-Dooj-rituals-wishes-and-lifafa/slide_05.jpg</t>
  </si>
  <si>
    <t xml:space="preserve">DIGITAL LIFAFA</t>
  </si>
  <si>
    <t xml:space="preserve">Shagun straight to UPI</t>
  </si>
  <si>
    <t xml:space="preserve">Hosting the Bhai Dooj lunch? Add Digital Lifafa to your Lumhe invite. Distant siblings send shagun by UPI directly to your UPI ID; Lumhe never touches the money.</t>
  </si>
  <si>
    <t xml:space="preserve">Posts/049_2026-10-31_Carousel_C35_Bhai-Dooj-rituals-wishes-and-lifafa/slide_06.jpg</t>
  </si>
  <si>
    <t xml:space="preserve">Ring post</t>
  </si>
  <si>
    <t xml:space="preserve">Short, funny or sentimental. Pick one and post.</t>
  </si>
  <si>
    <t xml:space="preserve">Posts/051_2026-11-01_Carousel_C12_Engagement-captions-and-hashtags/slide_01.jpg</t>
  </si>
  <si>
    <t xml:space="preserve">Short and sweet</t>
  </si>
  <si>
    <t xml:space="preserve">When the photo says enough</t>
  </si>
  <si>
    <t xml:space="preserve">• Forever starts now
• Said yes. Would say it again.
• Plus-one, permanently
• Mine, officially</t>
  </si>
  <si>
    <t xml:space="preserve">Posts/051_2026-11-01_Carousel_C12_Engagement-captions-and-hashtags/slide_02.jpg</t>
  </si>
  <si>
    <t xml:space="preserve">A little funny</t>
  </si>
  <si>
    <t xml:space="preserve">For couples who don't do mushy</t>
  </si>
  <si>
    <t xml:space="preserve">• Found someone to annoy for life
• Taking this one off the market
• The ring is real. The planning panic is next.</t>
  </si>
  <si>
    <t xml:space="preserve">Posts/051_2026-11-01_Carousel_C12_Engagement-captions-and-hashtags/slide_03.jpg</t>
  </si>
  <si>
    <t xml:space="preserve">Tell the story</t>
  </si>
  <si>
    <t xml:space="preserve">Proposal-story captions</t>
  </si>
  <si>
    <t xml:space="preserve">• Asked over chai. Answered before he finished.
• Five years of "someday" just got a date.
• Sunset, one knee, one very loud yes</t>
  </si>
  <si>
    <t xml:space="preserve">Posts/051_2026-11-01_Carousel_C12_Engagement-captions-and-hashtags/slide_04.jpg</t>
  </si>
  <si>
    <t xml:space="preserve">Make one that's only yours</t>
  </si>
  <si>
    <t xml:space="preserve">Mix names and a pun, like #FinallyFernandes. Search it first to check it's unused. Add two or three broad tags like #SheSaidYes.</t>
  </si>
  <si>
    <t xml:space="preserve">Posts/051_2026-11-01_Carousel_C12_Engagement-captions-and-hashtags/slide_05.jpg</t>
  </si>
  <si>
    <t xml:space="preserve">Next up: the save the date</t>
  </si>
  <si>
    <t xml:space="preserve">Put your couple hashtag on your Lumhe invite, and later, collect every guest's photos in one Moments album.</t>
  </si>
  <si>
    <t xml:space="preserve">Posts/051_2026-11-01_Carousel_C12_Engagement-captions-and-hashtags/slide_06.jpg</t>
  </si>
  <si>
    <t xml:space="preserve">Nikah card</t>
  </si>
  <si>
    <t xml:space="preserve">From Bismillah to Walima, line by line.</t>
  </si>
  <si>
    <t xml:space="preserve">EV-E06_A</t>
  </si>
  <si>
    <t xml:space="preserve">Posts/055_2026-11-03_Carousel_E06_Nikah-invitation-wording-and-order/slide_01.jpg</t>
  </si>
  <si>
    <t xml:space="preserve">Open with Bismillah</t>
  </si>
  <si>
    <t xml:space="preserve">• Bismillah in Arabic, or "In the name of Allah, the Most Gracious, the Most Merciful"
• Then the hosting family's names
• Then the couple</t>
  </si>
  <si>
    <t xml:space="preserve">Posts/055_2026-11-03_Carousel_E06_Nikah-invitation-wording-and-order/slide_02.jpg</t>
  </si>
  <si>
    <t xml:space="preserve">"With the blessings of Allah, Mr and Mrs Imran Qureshi request the pleasure of your company at the Nikah of their daughter Sana with Faizan, son of Mr and Mrs Arif Khan."</t>
  </si>
  <si>
    <t xml:space="preserve">Posts/055_2026-11-03_Carousel_E06_Nikah-invitation-wording-and-order/slide_03.jpg</t>
  </si>
  <si>
    <t xml:space="preserve">Urdu closing</t>
  </si>
  <si>
    <t xml:space="preserve">A graceful last line</t>
  </si>
  <si>
    <t xml:space="preserve">"Aapki tashreef-aawari hamare liye baais-e-masarrat hogi."
Your presence will be a source of joy for us.</t>
  </si>
  <si>
    <t xml:space="preserve">EV-E06_B</t>
  </si>
  <si>
    <t xml:space="preserve">Posts/055_2026-11-03_Carousel_E06_Nikah-invitation-wording-and-order/slide_04.jpg</t>
  </si>
  <si>
    <t xml:space="preserve">Give each function a line</t>
  </si>
  <si>
    <t xml:space="preserve">• Manjha or Haldi: close family
• Mehndi: the ladies' evening
• Nikah: time and venue
• Walima: hosted by the groom's family</t>
  </si>
  <si>
    <t xml:space="preserve">Posts/055_2026-11-03_Carousel_E06_Nikah-invitation-wording-and-order/slide_05.jpg</t>
  </si>
  <si>
    <t xml:space="preserve">Nikah and Walima, counted apart</t>
  </si>
  <si>
    <t xml:space="preserve">Upload your card, share one link and get a live headcount for each function.</t>
  </si>
  <si>
    <t xml:space="preserve">Posts/055_2026-11-03_Carousel_E06_Nikah-invitation-wording-and-order/slide_06.jpg</t>
  </si>
  <si>
    <t xml:space="preserve">CHHATH PUJA</t>
  </si>
  <si>
    <t xml:space="preserve">Your Chhath plan, starting ten days out.</t>
  </si>
  <si>
    <t xml:space="preserve">PAIR-CHH_A</t>
  </si>
  <si>
    <t xml:space="preserve">Posts/057_2026-11-04_Carousel_F21_Chhath-Puja-family-plan-ten-days-out/slide_01.jpg</t>
  </si>
  <si>
    <t xml:space="preserve">THE FOUR DAYS</t>
  </si>
  <si>
    <t xml:space="preserve">Know the rhythm before you plan</t>
  </si>
  <si>
    <t xml:space="preserve">• Nahay Khay: holy bath and a simple satvik meal
• Kharna: fast, then gur kheer and roti
• Sandhya Arghya: offerings to the setting sun
• Usha Arghya: offerings at sunrise</t>
  </si>
  <si>
    <t xml:space="preserve">Posts/057_2026-11-04_Carousel_F21_Chhath-Puja-family-plan-ten-days-out/slide_02.jpg</t>
  </si>
  <si>
    <t xml:space="preserve">COMING HOME</t>
  </si>
  <si>
    <t xml:space="preserve">Tickets first, everything else after</t>
  </si>
  <si>
    <t xml:space="preserve">• Trains home fill fast in Chhath week, so book now
• Share arrival dates with the host family
• Decide who stays where before anyone lands</t>
  </si>
  <si>
    <t xml:space="preserve">Posts/057_2026-11-04_Carousel_F21_Chhath-Puja-family-plan-ten-days-out/slide_03.jpg</t>
  </si>
  <si>
    <t xml:space="preserve">INVITE WORDING</t>
  </si>
  <si>
    <t xml:space="preserve">A message for the family group</t>
  </si>
  <si>
    <t xml:space="preserve">"Chhathi Maiya ki kripa se is baar Chhath hum sab saath manayenge. Ghat: [name]. Sandhya Arghya: [date]. Aap sabka intezaar rahega."</t>
  </si>
  <si>
    <t xml:space="preserve">Posts/057_2026-11-04_Carousel_F21_Chhath-Puja-family-plan-ten-days-out/slide_04.jpg</t>
  </si>
  <si>
    <t xml:space="preserve">GHAT CHECKLIST</t>
  </si>
  <si>
    <t xml:space="preserve">What the ghat days need</t>
  </si>
  <si>
    <t xml:space="preserve">• Soop and daura with fruit, sugarcane and thekua
• Diyas and matchboxes in a dry bag
• Shawls for the early-morning arghya
• A meeting point everyone knows</t>
  </si>
  <si>
    <t xml:space="preserve">PAIR-CHH_B</t>
  </si>
  <si>
    <t xml:space="preserve">Posts/057_2026-11-04_Carousel_F21_Chhath-Puja-family-plan-ten-days-out/slide_05.jpg</t>
  </si>
  <si>
    <t xml:space="preserve">One link for the ghat plan</t>
  </si>
  <si>
    <t xml:space="preserve">Upload your invite on Lumhe and share one link on WhatsApp. See who's travelling in, and collect every arghya photo in one Moments album.</t>
  </si>
  <si>
    <t xml:space="preserve">Posts/057_2026-11-04_Carousel_F21_Chhath-Puja-family-plan-ten-days-out/slide_06.jpg</t>
  </si>
  <si>
    <t xml:space="preserve">RSVP tracking</t>
  </si>
  <si>
    <t xml:space="preserve">Three free methods, and when each one works.</t>
  </si>
  <si>
    <t xml:space="preserve">Posts/064_2026-11-07_Carousel_E37_How-to-track-RSVPs-for-free/slide_01.jpg</t>
  </si>
  <si>
    <t xml:space="preserve">Why it matters</t>
  </si>
  <si>
    <t xml:space="preserve">Your caterer needs a number</t>
  </si>
  <si>
    <t xml:space="preserve">Most caterers want a final headcount two to three weeks out. Seating, rentals and transportation all hang on that same number.</t>
  </si>
  <si>
    <t xml:space="preserve">Posts/064_2026-11-07_Carousel_E37_How-to-track-RSVPs-for-free/slide_02.jpg</t>
  </si>
  <si>
    <t xml:space="preserve">Option 1</t>
  </si>
  <si>
    <t xml:space="preserve">The spreadsheet</t>
  </si>
  <si>
    <t xml:space="preserve">• Free and fully yours
• Fine for a small guest list
• Every reply typed in by hand
• Gets messy when two people edit it</t>
  </si>
  <si>
    <t xml:space="preserve">Posts/064_2026-11-07_Carousel_E37_How-to-track-RSVPs-for-free/slide_03.jpg</t>
  </si>
  <si>
    <t xml:space="preserve">Option 2</t>
  </si>
  <si>
    <t xml:space="preserve">An online form</t>
  </si>
  <si>
    <t xml:space="preserve">• Free and quick to set up
• Collects meal choices neatly
• Sits apart from your invitation
• You still chase the non-responders</t>
  </si>
  <si>
    <t xml:space="preserve">Posts/064_2026-11-07_Carousel_E37_How-to-track-RSVPs-for-free/slide_04.jpg</t>
  </si>
  <si>
    <t xml:space="preserve">Option 3</t>
  </si>
  <si>
    <t xml:space="preserve">An invite with RSVP built in</t>
  </si>
  <si>
    <t xml:space="preserve">Guests reply from the same link that holds your invitation. No app, no login, and the headcount updates as they answer.</t>
  </si>
  <si>
    <t xml:space="preserve">Posts/064_2026-11-07_Carousel_E37_How-to-track-RSVPs-for-free/slide_05.jpg</t>
  </si>
  <si>
    <t xml:space="preserve">Free RSVP tracking, live</t>
  </si>
  <si>
    <t xml:space="preserve">Upload your invite, add each event, share one link by text or email, and watch every yes and no land in one place.</t>
  </si>
  <si>
    <t xml:space="preserve">Posts/064_2026-11-07_Carousel_E37_How-to-track-RSVPs-for-free/slide_06.jpg</t>
  </si>
  <si>
    <t xml:space="preserve">DEV UTHANI</t>
  </si>
  <si>
    <t xml:space="preserve">Your ten-day plan for the ekadashi and beyond.</t>
  </si>
  <si>
    <t xml:space="preserve">PAIR-DEV_A</t>
  </si>
  <si>
    <t xml:space="preserve">Posts/070_2026-11-10_Carousel_F24_Dev-Uthani-Ekadashi-and-Tulsi-Vivah-plan/slide_01.jpg</t>
  </si>
  <si>
    <t xml:space="preserve">THE DAY</t>
  </si>
  <si>
    <t xml:space="preserve">Why this ekadashi matters</t>
  </si>
  <si>
    <t xml:space="preserve">Also called Prabodhini Ekadashi, it marks Lord Vishnu waking after Chaturmas. Many families hold Tulsi Vivah, and it traditionally opens the wedding season.</t>
  </si>
  <si>
    <t xml:space="preserve">Posts/070_2026-11-10_Carousel_F24_Dev-Uthani-Ekadashi-and-Tulsi-Vivah-plan/slide_02.jpg</t>
  </si>
  <si>
    <t xml:space="preserve">TULSI VIVAH</t>
  </si>
  <si>
    <t xml:space="preserve">What to arrange for the puja</t>
  </si>
  <si>
    <t xml:space="preserve">• Tulsi dressed in a red chunri and bangles
• A small mandap of sugarcane stalks
• Shaligram or a Vishnu idol as the groom
• Amla, ber and singhara for bhog</t>
  </si>
  <si>
    <t xml:space="preserve">Posts/070_2026-11-10_Carousel_F24_Dev-Uthani-Ekadashi-and-Tulsi-Vivah-plan/slide_03.jpg</t>
  </si>
  <si>
    <t xml:space="preserve">Ask the neighbours to join</t>
  </si>
  <si>
    <t xml:space="preserve">"Dev Uthani Ekadashi par hamare aangan mein Tulsi Vivah hai. Shaam [time] baje aarti aur prasad. Aap sapariwar padharein."</t>
  </si>
  <si>
    <t xml:space="preserve">Posts/070_2026-11-10_Carousel_F24_Dev-Uthani-Ekadashi-and-Tulsi-Vivah-plan/slide_04.jpg</t>
  </si>
  <si>
    <t xml:space="preserve">SHAADI AHEAD?</t>
  </si>
  <si>
    <t xml:space="preserve">A wedding in the family? Do this now</t>
  </si>
  <si>
    <t xml:space="preserve">• Finalise the function list, Haldi to Reception
• Split the guest list by function
• Collect outstation guests' arrival dates
• Decide how you'll accept shagun</t>
  </si>
  <si>
    <t xml:space="preserve">PAIR-DEV_B</t>
  </si>
  <si>
    <t xml:space="preserve">Posts/070_2026-11-10_Carousel_F24_Dev-Uthani-Ekadashi-and-Tulsi-Vivah-plan/slide_05.jpg</t>
  </si>
  <si>
    <t xml:space="preserve">From Tulsi Vivah to pheras, one link</t>
  </si>
  <si>
    <t xml:space="preserve">Send any invite as a Lumhe link: per-function RSVP, a Moments album for photos, and Digital Lifafa for shagun straight to your UPI ID.</t>
  </si>
  <si>
    <t xml:space="preserve">Posts/070_2026-11-10_Carousel_F24_Dev-Uthani-Ekadashi-and-Tulsi-Vivah-plan/slide_06.jpg</t>
  </si>
  <si>
    <t xml:space="preserve">Save the date</t>
  </si>
  <si>
    <t xml:space="preserve">Timing, wording and the one rule to remember.</t>
  </si>
  <si>
    <t xml:space="preserve">UK-36</t>
  </si>
  <si>
    <t xml:space="preserve">Posts/071_2026-11-11_Carousel_C06_UK-save-the-date-guide/slide_01.jpg</t>
  </si>
  <si>
    <t xml:space="preserve">Six to eight months before</t>
  </si>
  <si>
    <t xml:space="preserve">That's the usual window. Wedding abroad or on a bank holiday weekend? Send nine to twelve months ahead so guests can book leave and travel.</t>
  </si>
  <si>
    <t xml:space="preserve">Posts/071_2026-11-11_Carousel_C06_UK-save-the-date-guide/slide_02.jpg</t>
  </si>
  <si>
    <t xml:space="preserve">Include</t>
  </si>
  <si>
    <t xml:space="preserve">Four things, nothing more</t>
  </si>
  <si>
    <t xml:space="preserve">• Both your names
• The date
• Town or venue, if confirmed
• "Formal invitation to follow"
Leave the dress code and gift list for later.</t>
  </si>
  <si>
    <t xml:space="preserve">Posts/071_2026-11-11_Carousel_C06_UK-save-the-date-guide/slide_03.jpg</t>
  </si>
  <si>
    <t xml:space="preserve">Three lines to borrow</t>
  </si>
  <si>
    <t xml:space="preserve">• Olivia &amp; Tom are getting married. 12.06.27, Bath. Invitation to follow.
• Keep the date free: we're tying the knot in the Lake District
• Pencil us in: 4th September 2027</t>
  </si>
  <si>
    <t xml:space="preserve">UK-53</t>
  </si>
  <si>
    <t xml:space="preserve">Posts/071_2026-11-11_Carousel_C06_UK-save-the-date-guide/slide_04.jpg</t>
  </si>
  <si>
    <t xml:space="preserve">The rule</t>
  </si>
  <si>
    <t xml:space="preserve">Everyone on the list gets invited</t>
  </si>
  <si>
    <t xml:space="preserve">A save the date is a promise. Anyone who receives one must get an invitation, so finalise your guest list before you send.</t>
  </si>
  <si>
    <t xml:space="preserve">Posts/071_2026-11-11_Carousel_C06_UK-save-the-date-guide/slide_05.jpg</t>
  </si>
  <si>
    <t xml:space="preserve">Send the date today, sorted</t>
  </si>
  <si>
    <t xml:space="preserve">Upload your save the date, share one link on WhatsApp or email, then follow with the invitation and RSVP for each part of the day.</t>
  </si>
  <si>
    <t xml:space="preserve">Posts/071_2026-11-11_Carousel_C06_UK-save-the-date-guide/slide_06.jpg</t>
  </si>
  <si>
    <t xml:space="preserve">Mehendi edit</t>
  </si>
  <si>
    <t xml:space="preserve">Design ideas and wording you can copy today.</t>
  </si>
  <si>
    <t xml:space="preserve">Posts/073_2026-11-12_Carousel_C13_Mehendi-invitation-designs-and-wording/slide_01.jpg</t>
  </si>
  <si>
    <t xml:space="preserve">Design ideas</t>
  </si>
  <si>
    <t xml:space="preserve">Four directions to brief your designer</t>
  </si>
  <si>
    <t xml:space="preserve">• Henna-hand illustration in brown and gold
• Paisley in emerald, gold and burgundy
• Marigold jhoola, boho style
• Minimal line art on cream</t>
  </si>
  <si>
    <t xml:space="preserve">Posts/073_2026-11-12_Carousel_C13_Mehendi-invitation-designs-and-wording/slide_02.jpg</t>
  </si>
  <si>
    <t xml:space="preserve">Hinglish</t>
  </si>
  <si>
    <t xml:space="preserve">A line with some masti</t>
  </si>
  <si>
    <t xml:space="preserve">"Haathon mein mehendi, dil mein umang. Aaiye, rang jaiye humare sang! Riya's Mehendi, Saturday 12 December, 4 pm onwards."</t>
  </si>
  <si>
    <t xml:space="preserve">Posts/073_2026-11-12_Carousel_C13_Mehendi-invitation-designs-and-wording/slide_03.jpg</t>
  </si>
  <si>
    <t xml:space="preserve">English</t>
  </si>
  <si>
    <t xml:space="preserve">A warm, playful version</t>
  </si>
  <si>
    <t xml:space="preserve">"Bring your palms and your best dance moves. The Sharma family invites you to Riya's Mehendi: chai, chaat and the dholki will be waiting."</t>
  </si>
  <si>
    <t xml:space="preserve">Posts/073_2026-11-12_Carousel_C13_Mehendi-invitation-designs-and-wording/slide_04.jpg</t>
  </si>
  <si>
    <t xml:space="preserve">Add these</t>
  </si>
  <si>
    <t xml:space="preserve">Details guests always ask about</t>
  </si>
  <si>
    <t xml:space="preserve">• Dress colour (green, yellow, florals)
• When the artist is free for guests
• Ladies-only or everyone?
• Venue and parking</t>
  </si>
  <si>
    <t xml:space="preserve">Posts/073_2026-11-12_Carousel_C13_Mehendi-invitation-designs-and-wording/slide_05.jpg</t>
  </si>
  <si>
    <t xml:space="preserve">Mehendi guests see just Mehendi</t>
  </si>
  <si>
    <t xml:space="preserve">Add every function to one event. Each guest sees only theirs, and you get a live headcount for the Mehendi alone.</t>
  </si>
  <si>
    <t xml:space="preserve">Posts/073_2026-11-12_Carousel_C13_Mehendi-invitation-designs-and-wording/slide_06.jpg</t>
  </si>
  <si>
    <t xml:space="preserve">Turning one</t>
  </si>
  <si>
    <t xml:space="preserve">Themes and wording for the big first birthday.</t>
  </si>
  <si>
    <t xml:space="preserve">IN-43</t>
  </si>
  <si>
    <t xml:space="preserve">Posts/075_2026-11-13_Carousel_C18_First-birthday-invitation-themes-and-wor/slide_01.jpg</t>
  </si>
  <si>
    <t xml:space="preserve">Themes</t>
  </si>
  <si>
    <t xml:space="preserve">Ideas that suit a one-year-old</t>
  </si>
  <si>
    <t xml:space="preserve">• Wild One: jungle animals
• ONEderland: whimsical or wintry
• Little Royal: crowns and gold
• Fun to Be One: rainbows and balloons</t>
  </si>
  <si>
    <t xml:space="preserve">Posts/075_2026-11-13_Carousel_C18_First-birthday-invitation-themes-and-wor/slide_02.jpg</t>
  </si>
  <si>
    <t xml:space="preserve">Royal wording</t>
  </si>
  <si>
    <t xml:space="preserve">For a crowned birthday baby</t>
  </si>
  <si>
    <t xml:space="preserve">"Hear ye! Princess Aria is turning one. Join the royal court for cake and crowns, Saturday 14 November, 4pm."</t>
  </si>
  <si>
    <t xml:space="preserve">US-80</t>
  </si>
  <si>
    <t xml:space="preserve">Posts/075_2026-11-13_Carousel_C18_First-birthday-invitation-themes-and-wor/slide_03.jpg</t>
  </si>
  <si>
    <t xml:space="preserve">Sweet wording</t>
  </si>
  <si>
    <t xml:space="preserve">Short lines to copy</t>
  </si>
  <si>
    <t xml:space="preserve">• Our little one is turning ONE! Come for cake, stay for the smash.
• 365 days of giggles: help us celebrate Kabir
• Wild One alert: Leo turns 1</t>
  </si>
  <si>
    <t xml:space="preserve">Posts/075_2026-11-13_Carousel_C18_First-birthday-invitation-themes-and-wor/slide_04.jpg</t>
  </si>
  <si>
    <t xml:space="preserve">Details</t>
  </si>
  <si>
    <t xml:space="preserve">What parents of guests need</t>
  </si>
  <si>
    <t xml:space="preserve">• A time that suits naps
• Whether siblings are welcome
• Parking and pram access
• "Your presence is our present", only if you mean it</t>
  </si>
  <si>
    <t xml:space="preserve">Posts/075_2026-11-13_Carousel_C18_First-birthday-invitation-themes-and-wor/slide_05.jpg</t>
  </si>
  <si>
    <t xml:space="preserve">Their first album starts here</t>
  </si>
  <si>
    <t xml:space="preserve">Share one invite link, know the cake count from live RSVPs, and let guests add every photo to one Moments album.</t>
  </si>
  <si>
    <t xml:space="preserve">Posts/075_2026-11-13_Carousel_C18_First-birthday-invitation-themes-and-wor/slide_06.jpg</t>
  </si>
  <si>
    <t xml:space="preserve">GURPURAB</t>
  </si>
  <si>
    <t xml:space="preserve">Hosting a Gurpurab path at home? Start here.</t>
  </si>
  <si>
    <t xml:space="preserve">PAIR-GNJ_A</t>
  </si>
  <si>
    <t xml:space="preserve">Posts/078_2026-11-14_Carousel_F26_Gurpurab-path-and-langar-hosting-guide/slide_01.jpg</t>
  </si>
  <si>
    <t xml:space="preserve">THE WEEK</t>
  </si>
  <si>
    <t xml:space="preserve">What the days before usually hold</t>
  </si>
  <si>
    <t xml:space="preserve">• Prabhat Pheri: early-morning kirtan processions
• Nagar Kirtan through the neighbourhood
• Akhand Path, concluding on Gurpurab
• Gurdwaras and homes lit with diyas</t>
  </si>
  <si>
    <t xml:space="preserve">Posts/078_2026-11-14_Carousel_F26_Gurpurab-path-and-langar-hosting-guide/slide_02.jpg</t>
  </si>
  <si>
    <t xml:space="preserve">AT HOME</t>
  </si>
  <si>
    <t xml:space="preserve">Planning a Sukhmani Sahib path</t>
  </si>
  <si>
    <t xml:space="preserve">• Book the granthi or kirtani jatha early
• Clean white sheets for the sangat to sit
• Rumals at the door for guests' heads
• Shoes kept outside, water ready</t>
  </si>
  <si>
    <t xml:space="preserve">Posts/078_2026-11-14_Carousel_F26_Gurpurab-path-and-langar-hosting-guide/slide_03.jpg</t>
  </si>
  <si>
    <t xml:space="preserve">An invite you can send today</t>
  </si>
  <si>
    <t xml:space="preserve">"Waheguru Ji Ka Khalsa, Waheguru Ji Ki Fateh! On Gurpurab, we humbly invite you to Sukhmani Sahib path, kirtan and Guru ka langar at our home. [Date], [time], [address]."</t>
  </si>
  <si>
    <t xml:space="preserve">Posts/078_2026-11-14_Carousel_F26_Gurpurab-path-and-langar-hosting-guide/slide_04.jpg</t>
  </si>
  <si>
    <t xml:space="preserve">LANGAR SEVA</t>
  </si>
  <si>
    <t xml:space="preserve">Share the seva early</t>
  </si>
  <si>
    <t xml:space="preserve">• Assign roti, dal and kheer to different families
• One team serves, another cleans up
• Ask early who'd like to do seva
• Size the langar by RSVPs</t>
  </si>
  <si>
    <t xml:space="preserve">PAIR-GNJ_B</t>
  </si>
  <si>
    <t xml:space="preserve">Posts/078_2026-11-14_Carousel_F26_Gurpurab-path-and-langar-hosting-guide/slide_05.jpg</t>
  </si>
  <si>
    <t xml:space="preserve">One link for the whole sangat</t>
  </si>
  <si>
    <t xml:space="preserve">Share your invite as one Lumhe link. RSVPs give you a langar headcount, and Moments keeps the diya-lit evening photos in one album.</t>
  </si>
  <si>
    <t xml:space="preserve">Posts/078_2026-11-14_Carousel_F26_Gurpurab-path-and-langar-hosting-guide/slide_06.jpg</t>
  </si>
  <si>
    <t xml:space="preserve">THANKSGIVING</t>
  </si>
  <si>
    <t xml:space="preserve">A 10-day plan for a calm Thursday.</t>
  </si>
  <si>
    <t xml:space="preserve">US-6</t>
  </si>
  <si>
    <t xml:space="preserve">Posts/082_2026-11-16_Carousel_F29_Thanksgiving-hosting-plan-ten-days-out/slide_01.jpg</t>
  </si>
  <si>
    <t xml:space="preserve">Send the invite today</t>
  </si>
  <si>
    <t xml:space="preserve">"Come hungry! Thanksgiving dinner at our place, Thursday, Nov. 26. Doors at 2, turkey at 4. Bring your appetite and someone you're thankful for."</t>
  </si>
  <si>
    <t xml:space="preserve">Posts/082_2026-11-16_Carousel_F29_Thanksgiving-hosting-plan-ten-days-out/slide_02.jpg</t>
  </si>
  <si>
    <t xml:space="preserve">Lock the numbers, then the bird</t>
  </si>
  <si>
    <t xml:space="preserve">• Chase RSVPs for a final count
• Plan 1 to 1.5 lb of turkey per guest
• Fridge-thaw: a day per 4 to 5 lb
• Ask about allergies first</t>
  </si>
  <si>
    <t xml:space="preserve">Posts/082_2026-11-16_Carousel_F29_Thanksgiving-hosting-plan-ten-days-out/slide_03.jpg</t>
  </si>
  <si>
    <t xml:space="preserve">DAY 3</t>
  </si>
  <si>
    <t xml:space="preserve">Set the scene early</t>
  </si>
  <si>
    <t xml:space="preserve">• Borrow extra chairs and a folding table
• Bake pies a day or two ahead
• Write place cards, kids' table included
• Set the table the night before</t>
  </si>
  <si>
    <t xml:space="preserve">US-39</t>
  </si>
  <si>
    <t xml:space="preserve">Posts/082_2026-11-16_Carousel_F29_Thanksgiving-hosting-plan-ten-days-out/slide_04.jpg</t>
  </si>
  <si>
    <t xml:space="preserve">AT THE TABLE</t>
  </si>
  <si>
    <t xml:space="preserve">Small rituals guests remember</t>
  </si>
  <si>
    <t xml:space="preserve">• A gratitude card at every plate
• One group photo before anyone sits
• Leftover containers stacked by the door</t>
  </si>
  <si>
    <t xml:space="preserve">Posts/082_2026-11-16_Carousel_F29_Thanksgiving-hosting-plan-ten-days-out/slide_05.jpg</t>
  </si>
  <si>
    <t xml:space="preserve">Invite, RSVP and photos, one link</t>
  </si>
  <si>
    <t xml:space="preserve">Upload any invite or design one on Lumhe. Guests RSVP without an app, you see the headcount, and everyone's photos land in one shared Moments album.</t>
  </si>
  <si>
    <t xml:space="preserve">Posts/082_2026-11-16_Carousel_F29_Thanksgiving-hosting-plan-ten-days-out/slide_06.jpg</t>
  </si>
  <si>
    <t xml:space="preserve">Card shayari</t>
  </si>
  <si>
    <t xml:space="preserve">Four original couplets you can copy today.</t>
  </si>
  <si>
    <t xml:space="preserve">Posts/083_2026-11-17_Carousel_E08_Original-Hindi-shayari-for-wedding-cards/slide_01.jpg</t>
  </si>
  <si>
    <t xml:space="preserve">Traditional</t>
  </si>
  <si>
    <t xml:space="preserve">For the family card</t>
  </si>
  <si>
    <t xml:space="preserve">"Do dil, do parivaar, ek pavitra bandhan,
Aapke aashirvaad bina adhoora hai yeh milan."</t>
  </si>
  <si>
    <t xml:space="preserve">Posts/083_2026-11-17_Carousel_E08_Original-Hindi-shayari-for-wedding-cards/slide_02.jpg</t>
  </si>
  <si>
    <t xml:space="preserve">Heartfelt</t>
  </si>
  <si>
    <t xml:space="preserve">A warm invitation</t>
  </si>
  <si>
    <t xml:space="preserve">"Shehnai ki goonj hai, phoolon ki bahaar,
Bas aapki kami hai, aa jaiye ek baar."</t>
  </si>
  <si>
    <t xml:space="preserve">Posts/083_2026-11-17_Carousel_E08_Original-Hindi-shayari-for-wedding-cards/slide_03.jpg</t>
  </si>
  <si>
    <t xml:space="preserve">For elders</t>
  </si>
  <si>
    <t xml:space="preserve">A blessing line</t>
  </si>
  <si>
    <t xml:space="preserve">"Bade-buzurgon ka aashirvaad mile,
Naye safar ko pyaar ka saath mile."</t>
  </si>
  <si>
    <t xml:space="preserve">Posts/083_2026-11-17_Carousel_E08_Original-Hindi-shayari-for-wedding-cards/slide_04.jpg</t>
  </si>
  <si>
    <t xml:space="preserve">A playful one</t>
  </si>
  <si>
    <t xml:space="preserve">"Khaana bhi hai, gaana bhi, DJ bhi taiyaar,
Bas aapka RSVP baaki hai, mere yaar."</t>
  </si>
  <si>
    <t xml:space="preserve">Posts/083_2026-11-17_Carousel_E08_Original-Hindi-shayari-for-wedding-cards/slide_05.jpg</t>
  </si>
  <si>
    <t xml:space="preserve">Then make that RSVP easy</t>
  </si>
  <si>
    <t xml:space="preserve">Upload your card, share one link and see who's coming to every function.</t>
  </si>
  <si>
    <t xml:space="preserve">Posts/083_2026-11-17_Carousel_E08_Original-Hindi-shayari-for-wedding-cards/slide_06.jpg</t>
  </si>
  <si>
    <t xml:space="preserve">Anniversary parties</t>
  </si>
  <si>
    <t xml:space="preserve">Wording for silver and golden milestones, plus a planning list.</t>
  </si>
  <si>
    <t xml:space="preserve">EV-E40_A</t>
  </si>
  <si>
    <t xml:space="preserve">Posts/086_2026-11-18_Carousel_E40_Anniversary-party-invitations-25th-and-5/slide_01.jpg</t>
  </si>
  <si>
    <t xml:space="preserve">Silver, formal</t>
  </si>
  <si>
    <t xml:space="preserve">25th anniversary wording that shines</t>
  </si>
  <si>
    <t xml:space="preserve">'Mr. and Mrs. James Mitchell request the honor of your presence at a celebration of their Twenty-Fifth Wedding Anniversary. [Day, date and time].'</t>
  </si>
  <si>
    <t xml:space="preserve">Posts/086_2026-11-18_Carousel_E40_Anniversary-party-invitations-25th-and-5/slide_02.jpg</t>
  </si>
  <si>
    <t xml:space="preserve">Golden, warm</t>
  </si>
  <si>
    <t xml:space="preserve">50th wording for the whole family</t>
  </si>
  <si>
    <t xml:space="preserve">'Fifty years, five grandchildren and one very good love story. Join the Sullivan family as we celebrate Robert and Margaret's golden anniversary.'</t>
  </si>
  <si>
    <t xml:space="preserve">EV-E40_B</t>
  </si>
  <si>
    <t xml:space="preserve">Posts/086_2026-11-18_Carousel_E40_Anniversary-party-invitations-25th-and-5/slide_03.jpg</t>
  </si>
  <si>
    <t xml:space="preserve">Who hosts?</t>
  </si>
  <si>
    <t xml:space="preserve">Kids hosting? Put their names first</t>
  </si>
  <si>
    <t xml:space="preserve">When children host, the invite comes from them: 'The children of Robert and Margaret Sullivan invite you to celebrate their parents' 50th anniversary.'</t>
  </si>
  <si>
    <t xml:space="preserve">Posts/086_2026-11-18_Carousel_E40_Anniversary-party-invitations-25th-and-5/slide_04.jpg</t>
  </si>
  <si>
    <t xml:space="preserve">Plan it</t>
  </si>
  <si>
    <t xml:space="preserve">A quick host checklist</t>
  </si>
  <si>
    <t xml:space="preserve">• Send invites about six weeks ahead
• Ask guests to bring one old photo
• Save a spot for the cake and slideshow
• Plan a short toast</t>
  </si>
  <si>
    <t xml:space="preserve">Posts/086_2026-11-18_Carousel_E40_Anniversary-party-invitations-25th-and-5/slide_05.jpg</t>
  </si>
  <si>
    <t xml:space="preserve">Gather everyone, near and far</t>
  </si>
  <si>
    <t xml:space="preserve">Upload your invite, share one link, track RSVPs live, then collect every photo from the night in one Moments album the couple keeps.</t>
  </si>
  <si>
    <t xml:space="preserve">Posts/086_2026-11-18_Carousel_E40_Anniversary-party-invitations-25th-and-5/slide_06.jpg</t>
  </si>
  <si>
    <t xml:space="preserve">UK WEDDING ETIQUETTE</t>
  </si>
  <si>
    <t xml:space="preserve">How to invite both without anyone feeling second best.</t>
  </si>
  <si>
    <t xml:space="preserve">Posts/091_2026-11-21_Carousel_C07_Day-vs-evening-wedding-guest-etiquette/slide_01.jpg</t>
  </si>
  <si>
    <t xml:space="preserve">THE BASICS</t>
  </si>
  <si>
    <t xml:space="preserve">Who's invited to what</t>
  </si>
  <si>
    <t xml:space="preserve">• Day guests: ceremony, drinks reception, wedding breakfast, speeches and evening
• Evening guests: arrive for the first dance and party
• Same design, different wording and times</t>
  </si>
  <si>
    <t xml:space="preserve">Posts/091_2026-11-21_Carousel_C07_Day-vs-evening-wedding-guest-etiquette/slide_02.jpg</t>
  </si>
  <si>
    <t xml:space="preserve">WORDING</t>
  </si>
  <si>
    <t xml:space="preserve">Evening invitation wording to borrow</t>
  </si>
  <si>
    <t xml:space="preserve">Sophie and Tom invite you to join them for an evening reception celebrating their marriage. Saturday 12th June 2027, from 7.30pm, The Old Barn. Carriages at midnight.</t>
  </si>
  <si>
    <t xml:space="preserve">Posts/091_2026-11-21_Carousel_C07_Day-vs-evening-wedding-guest-etiquette/slide_03.jpg</t>
  </si>
  <si>
    <t xml:space="preserve">TACT</t>
  </si>
  <si>
    <t xml:space="preserve">Make evening guests feel wanted</t>
  </si>
  <si>
    <t xml:space="preserve">• Send their invitations at the same time as day guests'
• Never write 'just the evening'
• Feed them properly: hog roast, pizza van or evening buffet
• Give an exact arrival time</t>
  </si>
  <si>
    <t xml:space="preserve">Posts/091_2026-11-21_Carousel_C07_Day-vs-evening-wedding-guest-etiquette/slide_04.jpg</t>
  </si>
  <si>
    <t xml:space="preserve">NUMBERS</t>
  </si>
  <si>
    <t xml:space="preserve">Two guest lists, one wedding</t>
  </si>
  <si>
    <t xml:space="preserve">• Count day and evening numbers separately for caterers
• Seat only day guests at the wedding breakfast
• Size the evening food for everyone in the room</t>
  </si>
  <si>
    <t xml:space="preserve">Posts/091_2026-11-21_Carousel_C07_Day-vs-evening-wedding-guest-etiquette/slide_05.jpg</t>
  </si>
  <si>
    <t xml:space="preserve">Each guest sees their part</t>
  </si>
  <si>
    <t xml:space="preserve">Add Ceremony and Evening reception as separate functions. Day guests see both, evening guests see only theirs, and you get a live headcount for each.</t>
  </si>
  <si>
    <t xml:space="preserve">Posts/091_2026-11-21_Carousel_C07_Day-vs-evening-wedding-guest-etiquette/slide_06.jpg</t>
  </si>
  <si>
    <t xml:space="preserve">WEDDING WEBSITE</t>
  </si>
  <si>
    <t xml:space="preserve">A guest-first checklist for your wedding website.</t>
  </si>
  <si>
    <t xml:space="preserve">US-10</t>
  </si>
  <si>
    <t xml:space="preserve">Posts/094_2026-11-22_Carousel_C23_Wedding-website-include-and-skip-list/slide_01.jpg</t>
  </si>
  <si>
    <t xml:space="preserve">MUST-HAVES</t>
  </si>
  <si>
    <t xml:space="preserve">Four things every guest searches for</t>
  </si>
  <si>
    <t xml:space="preserve">• Dates, venues and start times for each event
• Dress code per event
• Travel, parking and nearby stays
• RSVP deadline and how to reply</t>
  </si>
  <si>
    <t xml:space="preserve">Posts/094_2026-11-22_Carousel_C23_Wedding-website-include-and-skip-list/slide_02.jpg</t>
  </si>
  <si>
    <t xml:space="preserve">NICE TO HAVE</t>
  </si>
  <si>
    <t xml:space="preserve">Story, photos and a little personality</t>
  </si>
  <si>
    <t xml:space="preserve">• How you met, in five lines or fewer
• Engagement photos
• Who's who in the wedding party
• Things to do nearby for out-of-town guests</t>
  </si>
  <si>
    <t xml:space="preserve">UK-72</t>
  </si>
  <si>
    <t xml:space="preserve">Posts/094_2026-11-22_Carousel_C23_Wedding-website-include-and-skip-list/slide_03.jpg</t>
  </si>
  <si>
    <t xml:space="preserve">SKIP THESE</t>
  </si>
  <si>
    <t xml:space="preserve">What to leave off the page</t>
  </si>
  <si>
    <t xml:space="preserve">• Events not every guest is invited to
• Gift links on the homepage; tuck them away
• Long paragraphs nobody scrolls through
• Anything you'd mind a stranger reading</t>
  </si>
  <si>
    <t xml:space="preserve">Posts/094_2026-11-22_Carousel_C23_Wedding-website-include-and-skip-list/slide_04.jpg</t>
  </si>
  <si>
    <t xml:space="preserve">PRIVACY</t>
  </si>
  <si>
    <t xml:space="preserve">Keep it for guests only</t>
  </si>
  <si>
    <t xml:space="preserve">• Add a password or share the link privately
• Never post your home address publicly
• When plans change, update one place, then notify guests</t>
  </si>
  <si>
    <t xml:space="preserve">Posts/094_2026-11-22_Carousel_C23_Wedding-website-include-and-skip-list/slide_05.jpg</t>
  </si>
  <si>
    <t xml:space="preserve">Your invite link does the work</t>
  </si>
  <si>
    <t xml:space="preserve">Lumhe puts your invite, per-function RSVP and a Moments album behind one link. Guests see only the events they're invited to, so nobody stumbles on the wrong one.</t>
  </si>
  <si>
    <t xml:space="preserve">Posts/094_2026-11-22_Carousel_C23_Wedding-website-include-and-skip-list/slide_06.jpg</t>
  </si>
  <si>
    <t xml:space="preserve">Friends &amp; colleagues</t>
  </si>
  <si>
    <t xml:space="preserve">Messages for best friends, teammates and your manager.</t>
  </si>
  <si>
    <t xml:space="preserve">EV-E12_A</t>
  </si>
  <si>
    <t xml:space="preserve">Posts/095_2026-11-23_Carousel_E12_Invite-messages-for-friends-and-colleagu/slide_01.jpg</t>
  </si>
  <si>
    <t xml:space="preserve">Best friends</t>
  </si>
  <si>
    <t xml:space="preserve">For the friends who knew first</t>
  </si>
  <si>
    <t xml:space="preserve">"You heard about him before my parents did. Now come watch me marry him. Sangeet on the 12th: you're on the dance floor, no excuses."</t>
  </si>
  <si>
    <t xml:space="preserve">Posts/095_2026-11-23_Carousel_E12_Invite-messages-for-friends-and-colleagu/slide_02.jpg</t>
  </si>
  <si>
    <t xml:space="preserve">Your team</t>
  </si>
  <si>
    <t xml:space="preserve">The office group, minus reply-all</t>
  </si>
  <si>
    <t xml:space="preserve">"Hi team! I'm getting married on 20 Feb in Jaipur and would love to celebrate with you at the reception. Details and RSVP in the link."</t>
  </si>
  <si>
    <t xml:space="preserve">EV-E12_B</t>
  </si>
  <si>
    <t xml:space="preserve">Posts/095_2026-11-23_Carousel_E12_Invite-messages-for-friends-and-colleagu/slide_03.jpg</t>
  </si>
  <si>
    <t xml:space="preserve">Your manager</t>
  </si>
  <si>
    <t xml:space="preserve">Formal, warm and early</t>
  </si>
  <si>
    <t xml:space="preserve">Send it personally, not in the team group, 4–6 weeks ahead: "It would mean a lot to have you at our reception. Please do join us with your family."</t>
  </si>
  <si>
    <t xml:space="preserve">Posts/095_2026-11-23_Carousel_E12_Invite-messages-for-friends-and-colleagu/slide_04.jpg</t>
  </si>
  <si>
    <t xml:space="preserve">Who gets which functions?</t>
  </si>
  <si>
    <t xml:space="preserve">• Close friends: Sangeet onwards
• Team: Reception
• Manager: Reception, with family
• Never invite half a team</t>
  </si>
  <si>
    <t xml:space="preserve">Posts/095_2026-11-23_Carousel_E12_Invite-messages-for-friends-and-colleagu/slide_05.jpg</t>
  </si>
  <si>
    <t xml:space="preserve">One link, the right functions</t>
  </si>
  <si>
    <t xml:space="preserve">Friends see the Sangeet and Reception, colleagues see only the Reception. RSVPs come back function by function.</t>
  </si>
  <si>
    <t xml:space="preserve">Posts/095_2026-11-23_Carousel_E12_Invite-messages-for-friends-and-colleagu/slide_06.jpg</t>
  </si>
  <si>
    <t xml:space="preserve">Hanukkah</t>
  </si>
  <si>
    <t xml:space="preserve">Invite wording and a host checklist.</t>
  </si>
  <si>
    <t xml:space="preserve">PAIR-HAN_A</t>
  </si>
  <si>
    <t xml:space="preserve">Posts/098_2026-11-24_Carousel_F31_Hanukkah-party-planning-and-invite-guide/slide_01.jpg</t>
  </si>
  <si>
    <t xml:space="preserve">Copy, paste, light</t>
  </si>
  <si>
    <t xml:space="preserve">"Eight nights, one menorah and far too many latkes. Join us to light candle one on Friday, 4 December at sundown. Bring your appetite and your dreidel skills."</t>
  </si>
  <si>
    <t xml:space="preserve">Posts/098_2026-11-24_Carousel_F31_Hanukkah-party-planning-and-invite-guide/slide_02.jpg</t>
  </si>
  <si>
    <t xml:space="preserve">Which night</t>
  </si>
  <si>
    <t xml:space="preserve">Choosing your night</t>
  </si>
  <si>
    <t xml:space="preserve">• Night one: the big family gathering
• A weekend night: easier for friends to come
• A mid-week night: a cosy latke supper
• Tell guests the time, since sundown shifts</t>
  </si>
  <si>
    <t xml:space="preserve">Posts/098_2026-11-24_Carousel_F31_Hanukkah-party-planning-and-invite-guide/slide_03.jpg</t>
  </si>
  <si>
    <t xml:space="preserve">Before the first candle</t>
  </si>
  <si>
    <t xml:space="preserve">• 44 candles covers all eight nights
• Latkes fried ahead, crisped in the oven
• Applesauce and sour cream
• Sufganiyot, dreidels and gelt for the kids</t>
  </si>
  <si>
    <t xml:space="preserve">PAIR-HAN_B</t>
  </si>
  <si>
    <t xml:space="preserve">Posts/098_2026-11-24_Carousel_F31_Hanukkah-party-planning-and-invite-guide/slide_04.jpg</t>
  </si>
  <si>
    <t xml:space="preserve">Every night</t>
  </si>
  <si>
    <t xml:space="preserve">Keep the photos together</t>
  </si>
  <si>
    <t xml:space="preserve">Ask guests to add their own candle-lighting photos each night, so the whole family sees all eight.</t>
  </si>
  <si>
    <t xml:space="preserve">Posts/098_2026-11-24_Carousel_F31_Hanukkah-party-planning-and-invite-guide/slide_05.jpg</t>
  </si>
  <si>
    <t xml:space="preserve">One link for every night</t>
  </si>
  <si>
    <t xml:space="preserve">Share your invite, see live RSVP numbers and collect photos in one Moments album.</t>
  </si>
  <si>
    <t xml:space="preserve">Posts/098_2026-11-24_Carousel_F31_Hanukkah-party-planning-and-invite-guide/slide_06.jpg</t>
  </si>
  <si>
    <t xml:space="preserve">Checklist</t>
  </si>
  <si>
    <t xml:space="preserve">The essentials, plus the one thing to leave off.</t>
  </si>
  <si>
    <t xml:space="preserve">US-1</t>
  </si>
  <si>
    <t xml:space="preserve">Posts/103_2026-11-27_Carousel_C01_Wedding-invitation-must-include-checklis/slide_01.jpg</t>
  </si>
  <si>
    <t xml:space="preserve">Names first</t>
  </si>
  <si>
    <t xml:space="preserve">Who's hosting, who's marrying</t>
  </si>
  <si>
    <t xml:space="preserve">Open with the hosts: parents' names or "Together with their families." Then both full names. Middle names are optional; last names are not.</t>
  </si>
  <si>
    <t xml:space="preserve">Posts/103_2026-11-27_Carousel_C01_Wedding-invitation-must-include-checklis/slide_02.jpg</t>
  </si>
  <si>
    <t xml:space="preserve">Date and time</t>
  </si>
  <si>
    <t xml:space="preserve">Spell it out on formal invites</t>
  </si>
  <si>
    <t xml:space="preserve">"Saturday, the fifteenth of May, two thousand twenty-seven, at four o'clock in the afternoon."
Listing a separate reception time? Put it on its own line.</t>
  </si>
  <si>
    <t xml:space="preserve">Posts/103_2026-11-27_Carousel_C01_Wedding-invitation-must-include-checklis/slide_03.jpg</t>
  </si>
  <si>
    <t xml:space="preserve">Where and wear</t>
  </si>
  <si>
    <t xml:space="preserve">Venue, address and dress code</t>
  </si>
  <si>
    <t xml:space="preserve">• Venue name and street address
• City and state
• Reception venue, if different
• Dress code: black tie, cocktail or garden formal</t>
  </si>
  <si>
    <t xml:space="preserve">US-56</t>
  </si>
  <si>
    <t xml:space="preserve">Posts/103_2026-11-27_Carousel_C01_Wedding-invitation-must-include-checklis/slide_04.jpg</t>
  </si>
  <si>
    <t xml:space="preserve">Reply and skip</t>
  </si>
  <si>
    <t xml:space="preserve">RSVP yes, registry no</t>
  </si>
  <si>
    <t xml:space="preserve">Give an RSVP date three to four weeks out and how to reply. Registry details go on your website, never on the invitation itself.</t>
  </si>
  <si>
    <t xml:space="preserve">Posts/103_2026-11-27_Carousel_C01_Wedding-invitation-must-include-checklis/slide_05.jpg</t>
  </si>
  <si>
    <t xml:space="preserve">Every detail, one tap away</t>
  </si>
  <si>
    <t xml:space="preserve">Upload your design, share one link by text or email, and watch RSVPs land live. No app or login for guests.</t>
  </si>
  <si>
    <t xml:space="preserve">Posts/103_2026-11-27_Carousel_C01_Wedding-invitation-must-include-checklis/slide_06.jpg</t>
  </si>
  <si>
    <t xml:space="preserve">Christening season</t>
  </si>
  <si>
    <t xml:space="preserve">Formal, relaxed and naming-day versions inside.</t>
  </si>
  <si>
    <t xml:space="preserve">Posts/107_2026-11-29_Carousel_C17_Christening-invitation-wording-UK/slide_01.jpg</t>
  </si>
  <si>
    <t xml:space="preserve">The traditional version</t>
  </si>
  <si>
    <t xml:space="preserve">"Sarah and James Whitfield request the pleasure of your company at the christening of their son, Oliver George, at St Mary's Church on Sunday 17th January at 11am, and afterwards at home."</t>
  </si>
  <si>
    <t xml:space="preserve">Posts/107_2026-11-29_Carousel_C17_Christening-invitation-wording-UK/slide_02.jpg</t>
  </si>
  <si>
    <t xml:space="preserve">Relaxed</t>
  </si>
  <si>
    <t xml:space="preserve">The church-then-pub version</t>
  </si>
  <si>
    <t xml:space="preserve">"Little Ava is being christened! Join us at St Peter's at 2pm, then cake and bubbles at The Swan. With love from Ava and her godparents, Lucy and Tom."</t>
  </si>
  <si>
    <t xml:space="preserve">Posts/107_2026-11-29_Carousel_C17_Christening-invitation-wording-UK/slide_03.jpg</t>
  </si>
  <si>
    <t xml:space="preserve">Naming day</t>
  </si>
  <si>
    <t xml:space="preserve">For a non-religious celebration</t>
  </si>
  <si>
    <t xml:space="preserve">"We're officially welcoming Isla Rose into the family. Join us for her naming day in the garden, Saturday 23rd January, 1pm. Wellies optional, cake essential."</t>
  </si>
  <si>
    <t xml:space="preserve">Posts/107_2026-11-29_Carousel_C17_Christening-invitation-wording-UK/slide_04.jpg</t>
  </si>
  <si>
    <t xml:space="preserve">Don't forget</t>
  </si>
  <si>
    <t xml:space="preserve">What grandparents will ring about</t>
  </si>
  <si>
    <t xml:space="preserve">• Service time and reception venue
• Parking near the church
• Gift guidance, if any
• Whether children are welcome at the reception</t>
  </si>
  <si>
    <t xml:space="preserve">Posts/107_2026-11-29_Carousel_C17_Christening-invitation-wording-UK/slide_05.jpg</t>
  </si>
  <si>
    <t xml:space="preserve">Service and lunch, one link</t>
  </si>
  <si>
    <t xml:space="preserve">Add the church service and the lunch as separate functions. Guests see what they're invited to, reply in a tap, and share photos in Moments.</t>
  </si>
  <si>
    <t xml:space="preserve">Posts/107_2026-11-29_Carousel_C17_Christening-invitation-wording-UK/slide_06.jpg</t>
  </si>
  <si>
    <t xml:space="preserve">DIY guide</t>
  </si>
  <si>
    <t xml:space="preserve">From blank card to finished invite, in the right order.</t>
  </si>
  <si>
    <t xml:space="preserve">UK-29</t>
  </si>
  <si>
    <t xml:space="preserve">Posts/110_2026-11-30_Carousel_C26_Make-your-own-wedding-invitations-step-b/slide_01.jpg</t>
  </si>
  <si>
    <t xml:space="preserve">Step 1</t>
  </si>
  <si>
    <t xml:space="preserve">Lock the details before designing</t>
  </si>
  <si>
    <t xml:space="preserve">• Full names, spelt the way you want them
• Date, start time, venue address
• RSVP deadline
• Where guests find more info</t>
  </si>
  <si>
    <t xml:space="preserve">Posts/110_2026-11-30_Carousel_C26_Make-your-own-wedding-invitations-step-b/slide_02.jpg</t>
  </si>
  <si>
    <t xml:space="preserve">Step 2</t>
  </si>
  <si>
    <t xml:space="preserve">Build a three-colour palette</t>
  </si>
  <si>
    <t xml:space="preserve">Take one colour from your flowers, one from the venue and one neutral for text. Three colours keep a handmade design looking deliberate, not busy.</t>
  </si>
  <si>
    <t xml:space="preserve">Posts/110_2026-11-30_Carousel_C26_Make-your-own-wedding-invitations-step-b/slide_03.jpg</t>
  </si>
  <si>
    <t xml:space="preserve">Step 3</t>
  </si>
  <si>
    <t xml:space="preserve">Make one motif, reuse it everywhere</t>
  </si>
  <si>
    <t xml:space="preserve">Paint or draw a single sprig, crest or monogram. Scan it at high resolution and repeat it on the save-the-date, invite, menus and signage.</t>
  </si>
  <si>
    <t xml:space="preserve">US-2</t>
  </si>
  <si>
    <t xml:space="preserve">Posts/110_2026-11-30_Carousel_C26_Make-your-own-wedding-invitations-step-b/slide_04.jpg</t>
  </si>
  <si>
    <t xml:space="preserve">Step 4</t>
  </si>
  <si>
    <t xml:space="preserve">Test it like a guest would</t>
  </si>
  <si>
    <t xml:space="preserve">Print one copy on plain paper and open the digital version on your phone. Then ask two people to proofread names, dates and times.</t>
  </si>
  <si>
    <t xml:space="preserve">Posts/110_2026-11-30_Carousel_C26_Make-your-own-wedding-invitations-step-b/slide_05.jpg</t>
  </si>
  <si>
    <t xml:space="preserve">Your design, shared in one link</t>
  </si>
  <si>
    <t xml:space="preserve">Upload your finished invite as an image, PDF or video. Guests open one link, RSVP without an app, and share photos after.</t>
  </si>
  <si>
    <t xml:space="preserve">Posts/110_2026-11-30_Carousel_C26_Make-your-own-wedding-invitations-step-b/slide_06.jpg</t>
  </si>
  <si>
    <t xml:space="preserve">Gifts for friends</t>
  </si>
  <si>
    <t xml:space="preserve">Gift ideas that prove you actually know them.</t>
  </si>
  <si>
    <t xml:space="preserve">EV-E13_A</t>
  </si>
  <si>
    <t xml:space="preserve">Posts/113_2026-12-02_Carousel_E13_Marriage-gift-ideas-for-friends/slide_01.jpg</t>
  </si>
  <si>
    <t xml:space="preserve">Personal</t>
  </si>
  <si>
    <t xml:space="preserve">Make it about your friendship</t>
  </si>
  <si>
    <t xml:space="preserve">• A memory album of trips and inside jokes
• A custom caricature of the couple
• Letters from the gang, sealed until their first anniversary</t>
  </si>
  <si>
    <t xml:space="preserve">EV-E13_B</t>
  </si>
  <si>
    <t xml:space="preserve">Posts/113_2026-12-02_Carousel_E13_Marriage-gift-ideas-for-friends/slide_02.jpg</t>
  </si>
  <si>
    <t xml:space="preserve">Experiences</t>
  </si>
  <si>
    <t xml:space="preserve">Gift a day, not a thing</t>
  </si>
  <si>
    <t xml:space="preserve">• A couple's cooking class
• A weekend stay voucher
• Concert or stand-up tickets for after the wedding rush</t>
  </si>
  <si>
    <t xml:space="preserve">Posts/113_2026-12-02_Carousel_E13_Marriage-gift-ideas-for-friends/slide_03.jpg</t>
  </si>
  <si>
    <t xml:space="preserve">Pool it</t>
  </si>
  <si>
    <t xml:space="preserve">Go big with the friends' group</t>
  </si>
  <si>
    <t xml:space="preserve">Five friends, one bigger gift: a coffee machine, a smartwatch pair or a honeymoon dinner. Agree on the budget on one call.</t>
  </si>
  <si>
    <t xml:space="preserve">Posts/113_2026-12-02_Carousel_E13_Marriage-gift-ideas-for-friends/slide_04.jpg</t>
  </si>
  <si>
    <t xml:space="preserve">Shagun counts</t>
  </si>
  <si>
    <t xml:space="preserve">A lifafa with a note never fails</t>
  </si>
  <si>
    <t xml:space="preserve">Pair a small personal gift with shagun and a line like: "For your first home together, with love from the hostel gang."</t>
  </si>
  <si>
    <t xml:space="preserve">Posts/113_2026-12-02_Carousel_E13_Marriage-gift-ideas-for-friends/slide_05.jpg</t>
  </si>
  <si>
    <t xml:space="preserve">Give them every guest's photos</t>
  </si>
  <si>
    <t xml:space="preserve">Hosting their mehendi or sangeet? Share one Lumhe link so every guest's photos land in one Moments album, full quality.</t>
  </si>
  <si>
    <t xml:space="preserve">Posts/113_2026-12-02_Carousel_E13_Marriage-gift-ideas-for-friends/slide_06.jpg</t>
  </si>
  <si>
    <t xml:space="preserve">From save the date to final headcount.</t>
  </si>
  <si>
    <t xml:space="preserve">US-5</t>
  </si>
  <si>
    <t xml:space="preserve">Posts/117_2026-12-04_Carousel_C02_Wedding-invitation-sending-timeline/slide_01.jpg</t>
  </si>
  <si>
    <t xml:space="preserve">6–8 months out</t>
  </si>
  <si>
    <t xml:space="preserve">Save the dates go first</t>
  </si>
  <si>
    <t xml:space="preserve">Send six to eight months ahead. For destination weddings or holiday weekends, go nine to twelve months so guests can book travel.</t>
  </si>
  <si>
    <t xml:space="preserve">Posts/117_2026-12-04_Carousel_C02_Wedding-invitation-sending-timeline/slide_02.jpg</t>
  </si>
  <si>
    <t xml:space="preserve">6–8 weeks out</t>
  </si>
  <si>
    <t xml:space="preserve">Invitations hit mailboxes</t>
  </si>
  <si>
    <t xml:space="preserve">Mail six to eight weeks before the wedding. Add two weeks for overseas guests. Digital invites follow the same timing; they just arrive faster.</t>
  </si>
  <si>
    <t xml:space="preserve">Posts/117_2026-12-04_Carousel_C02_Wedding-invitation-sending-timeline/slide_03.jpg</t>
  </si>
  <si>
    <t xml:space="preserve">3–4 weeks out</t>
  </si>
  <si>
    <t xml:space="preserve">Your RSVP deadline</t>
  </si>
  <si>
    <t xml:space="preserve">Put the reply date three to four weeks before the wedding. That leaves time to chase stragglers before your vendors need numbers.</t>
  </si>
  <si>
    <t xml:space="preserve">US-52</t>
  </si>
  <si>
    <t xml:space="preserve">Posts/117_2026-12-04_Carousel_C02_Wedding-invitation-sending-timeline/slide_04.jpg</t>
  </si>
  <si>
    <t xml:space="preserve">Final stretch</t>
  </si>
  <si>
    <t xml:space="preserve">The last two weeks</t>
  </si>
  <si>
    <t xml:space="preserve">• Day after deadline: text the no-replies
• 2 weeks out: headcount to caterer
• 1 week out: seating chart locked
• 2 days out: share parking details</t>
  </si>
  <si>
    <t xml:space="preserve">Posts/117_2026-12-04_Carousel_C02_Wedding-invitation-sending-timeline/slide_05.jpg</t>
  </si>
  <si>
    <t xml:space="preserve">Track every reply in real time</t>
  </si>
  <si>
    <t xml:space="preserve">Share one invite link, and RSVPs update live with a headcount for the ceremony and the reception. No spreadsheet required.</t>
  </si>
  <si>
    <t xml:space="preserve">Posts/117_2026-12-04_Carousel_C02_Wedding-invitation-sending-timeline/slide_06.jpg</t>
  </si>
  <si>
    <t xml:space="preserve">Kids' parties</t>
  </si>
  <si>
    <t xml:space="preserve">Wording and details that make replying easy.</t>
  </si>
  <si>
    <t xml:space="preserve">UK-3</t>
  </si>
  <si>
    <t xml:space="preserve">Posts/120_2026-12-05_Carousel_C19_Children-s-party-wording-that-gets-repli/slide_01.jpg</t>
  </si>
  <si>
    <t xml:space="preserve">Reply date</t>
  </si>
  <si>
    <t xml:space="preserve">Put the reply date near the top</t>
  </si>
  <si>
    <t xml:space="preserve">Parents skim. Try: "Please reply by Friday 8th so we can order the right number of party bags." A reason makes the deadline feel real.</t>
  </si>
  <si>
    <t xml:space="preserve">Posts/120_2026-12-05_Carousel_C19_Children-s-party-wording-that-gets-repli/slide_02.jpg</t>
  </si>
  <si>
    <t xml:space="preserve">Soft play</t>
  </si>
  <si>
    <t xml:space="preserve">Sample wording to copy</t>
  </si>
  <si>
    <t xml:space="preserve">"Leo is turning 5! Come and bounce with us at Jungle Jim's, Saturday 9th January, 1 to 3pm. Grippy socks needed. Drop-off welcome."</t>
  </si>
  <si>
    <t xml:space="preserve">Posts/120_2026-12-05_Carousel_C19_Children-s-party-wording-that-gets-repli/slide_03.jpg</t>
  </si>
  <si>
    <t xml:space="preserve">Answer first</t>
  </si>
  <si>
    <t xml:space="preserve">Four questions every parent has</t>
  </si>
  <si>
    <t xml:space="preserve">• Drop-off, or should I stay?
• Are siblings invited?
• Pick-up time, not just start time
• "Let us know about allergies when you reply"</t>
  </si>
  <si>
    <t xml:space="preserve">UK-28</t>
  </si>
  <si>
    <t xml:space="preserve">Posts/120_2026-12-05_Carousel_C19_Children-s-party-wording-that-gets-repli/slide_04.jpg</t>
  </si>
  <si>
    <t xml:space="preserve">Party at home</t>
  </si>
  <si>
    <t xml:space="preserve">Royal-themed sample wording</t>
  </si>
  <si>
    <t xml:space="preserve">"Hear ye, hear ye! Princess Amara commands your presence at her royal 4th birthday. Crowns provided, cake guaranteed. Saturday 16th January, 2pm."</t>
  </si>
  <si>
    <t xml:space="preserve">Posts/120_2026-12-05_Carousel_C19_Children-s-party-wording-that-gets-repli/slide_05.jpg</t>
  </si>
  <si>
    <t xml:space="preserve">Every reply in one list</t>
  </si>
  <si>
    <t xml:space="preserve">Parents tap reply on the link without downloading anything, and you see a live headcount for cake and party bags.</t>
  </si>
  <si>
    <t xml:space="preserve">Posts/120_2026-12-05_Carousel_C19_Children-s-party-wording-that-gets-repli/slide_06.jpg</t>
  </si>
  <si>
    <t xml:space="preserve">A simple formula plus notes you can borrow.</t>
  </si>
  <si>
    <t xml:space="preserve">Posts/124_2026-12-07_Carousel_C34_Thank-you-messages-after-your-event/slide_01.jpg</t>
  </si>
  <si>
    <t xml:space="preserve">The formula</t>
  </si>
  <si>
    <t xml:space="preserve">Three lines is all it takes</t>
  </si>
  <si>
    <t xml:space="preserve">• Name the gift or gesture
• Say how you'll use it or what it meant
• Mention a moment with them on the day</t>
  </si>
  <si>
    <t xml:space="preserve">Posts/124_2026-12-07_Carousel_C34_Thank-you-messages-after-your-event/slide_02.jpg</t>
  </si>
  <si>
    <t xml:space="preserve">For a gift</t>
  </si>
  <si>
    <t xml:space="preserve">Sample note</t>
  </si>
  <si>
    <t xml:space="preserve">"Thank you for the copper kettle. It already has a permanent spot on our stove. Seeing you dance at the reception made our night."</t>
  </si>
  <si>
    <t xml:space="preserve">Posts/124_2026-12-07_Carousel_C34_Thank-you-messages-after-your-event/slide_03.jpg</t>
  </si>
  <si>
    <t xml:space="preserve">Cash or travel</t>
  </si>
  <si>
    <t xml:space="preserve">Two more samples</t>
  </si>
  <si>
    <t xml:space="preserve">"Thank you for your generous gift. It's going straight into our first-home fund."
"You travelled so far to be with us, and it meant everything."</t>
  </si>
  <si>
    <t xml:space="preserve">Posts/124_2026-12-07_Carousel_C34_Thank-you-messages-after-your-event/slide_04.jpg</t>
  </si>
  <si>
    <t xml:space="preserve">When to send them</t>
  </si>
  <si>
    <t xml:space="preserve">• Birthdays and parties: within two weeks
• Weddings: within three months
• A group thank-you post first, personal notes after
• Add a photo of them</t>
  </si>
  <si>
    <t xml:space="preserve">Posts/124_2026-12-07_Carousel_C34_Thank-you-messages-after-your-event/slide_05.jpg</t>
  </si>
  <si>
    <t xml:space="preserve">Thank them with the photos</t>
  </si>
  <si>
    <t xml:space="preserve">Guests upload their pictures to your Moments album, so you have the perfect photo of everyone to send with each note.</t>
  </si>
  <si>
    <t xml:space="preserve">Posts/124_2026-12-07_Carousel_C34_Thank-you-messages-after-your-event/slide_06.jpg</t>
  </si>
  <si>
    <t xml:space="preserve">Kitty party</t>
  </si>
  <si>
    <t xml:space="preserve">Wording, themes and an RSVP that stops the calls.</t>
  </si>
  <si>
    <t xml:space="preserve">EV-E16_A</t>
  </si>
  <si>
    <t xml:space="preserve">Posts/127_2026-12-09_Carousel_E16_Kitty-party-invite-wording-and-themes/slide_01.jpg</t>
  </si>
  <si>
    <t xml:space="preserve">Short, fun and WhatsApp-ready</t>
  </si>
  <si>
    <t xml:space="preserve">"Ladies, it's kitty time! Sunday, 13 Dec, 4 PM at my place. Bring your laughs and your contribution. Tambola prizes are serious this month."</t>
  </si>
  <si>
    <t xml:space="preserve">Posts/127_2026-12-09_Carousel_E16_Kitty-party-invite-wording-and-themes/slide_02.jpg</t>
  </si>
  <si>
    <t xml:space="preserve">Theme ideas</t>
  </si>
  <si>
    <t xml:space="preserve">Give the month a theme</t>
  </si>
  <si>
    <t xml:space="preserve">• Winter woollens tea party
• Retro Bollywood night
• Shaadi season, in your best lehenga
• Christmas brunch kitty</t>
  </si>
  <si>
    <t xml:space="preserve">EV-E16_B</t>
  </si>
  <si>
    <t xml:space="preserve">Posts/127_2026-12-09_Carousel_E16_Kitty-party-invite-wording-and-themes/slide_03.jpg</t>
  </si>
  <si>
    <t xml:space="preserve">Dress code</t>
  </si>
  <si>
    <t xml:space="preserve">One line, zero confusion</t>
  </si>
  <si>
    <t xml:space="preserve">"Theme: Retro Bollywood. Think polka dots, big hair and winged eyeliner. Best-dressed wins a prize."</t>
  </si>
  <si>
    <t xml:space="preserve">Posts/127_2026-12-09_Carousel_E16_Kitty-party-invite-wording-and-themes/slide_04.jpg</t>
  </si>
  <si>
    <t xml:space="preserve">Before the doorbell rings</t>
  </si>
  <si>
    <t xml:space="preserve">• Confirm the headcount 2 days before
• Plan 2 games and prizes
• Keep the kitty register ready
• Remind next month's host</t>
  </si>
  <si>
    <t xml:space="preserve">Posts/127_2026-12-09_Carousel_E16_Kitty-party-invite-wording-and-themes/slide_05.jpg</t>
  </si>
  <si>
    <t xml:space="preserve">Know who's coming before you cook</t>
  </si>
  <si>
    <t xml:space="preserve">Send one link to the group. Members RSVP in a tap, you see the headcount, and every photo goes into one Moments album.</t>
  </si>
  <si>
    <t xml:space="preserve">Posts/127_2026-12-09_Carousel_E16_Kitty-party-invite-wording-and-themes/slide_06.jpg</t>
  </si>
  <si>
    <t xml:space="preserve">ETIQUETTE CHEAT SHEET</t>
  </si>
  <si>
    <t xml:space="preserve">Couples, families, doctors and plus-ones, done right.</t>
  </si>
  <si>
    <t xml:space="preserve">Posts/129_2026-12-10_Carousel_C03_Wedding-envelope-addressing-cheat-sheet/slide_01.jpg</t>
  </si>
  <si>
    <t xml:space="preserve">MARRIED COUPLES</t>
  </si>
  <si>
    <t xml:space="preserve">Same last name or different</t>
  </si>
  <si>
    <t xml:space="preserve">• Traditional: Mr. and Mrs. James Carter
• Modern: Mr. James and Mrs. Ella Carter
• Different last names: Ms. Ella Moss and Mr. James Carter, each name in full</t>
  </si>
  <si>
    <t xml:space="preserve">Posts/129_2026-12-10_Carousel_C03_Wedding-envelope-addressing-cheat-sheet/slide_02.jpg</t>
  </si>
  <si>
    <t xml:space="preserve">PARTNERS &amp; SINGLES</t>
  </si>
  <si>
    <t xml:space="preserve">Unmarried couples and plus-ones</t>
  </si>
  <si>
    <t xml:space="preserve">• Living together: each full name on its own line
• Single guest: Ms. Priya Shah
• Plus-one allowed: Ms. Priya Shah and Guest
• No 'and Guest' means no plus-one</t>
  </si>
  <si>
    <t xml:space="preserve">Posts/129_2026-12-10_Carousel_C03_Wedding-envelope-addressing-cheat-sheet/slide_03.jpg</t>
  </si>
  <si>
    <t xml:space="preserve">FAMILIES</t>
  </si>
  <si>
    <t xml:space="preserve">Kids invited? Make it unmistakable</t>
  </si>
  <si>
    <t xml:space="preserve">• 'The Carter Family' signals everyone at home
• Or list children by first name under their parents
• Not named means not invited, so be consistent</t>
  </si>
  <si>
    <t xml:space="preserve">Posts/129_2026-12-10_Carousel_C03_Wedding-envelope-addressing-cheat-sheet/slide_04.jpg</t>
  </si>
  <si>
    <t xml:space="preserve">TITLES</t>
  </si>
  <si>
    <t xml:space="preserve">Doctors, judges and military ranks</t>
  </si>
  <si>
    <t xml:space="preserve">• One doctor: Dr. Ella Moss and Mr. James Carter
• Both doctors: The Doctors Carter
• Military: Captain James Carter, U.S. Army
• Spell out Street, Avenue and state names</t>
  </si>
  <si>
    <t xml:space="preserve">Posts/129_2026-12-10_Carousel_C03_Wedding-envelope-addressing-cheat-sheet/slide_05.jpg</t>
  </si>
  <si>
    <t xml:space="preserve">GOING DIGITAL</t>
  </si>
  <si>
    <t xml:space="preserve">Names right, stamps optional</t>
  </si>
  <si>
    <t xml:space="preserve">Address your digital invite with the same care, then share one Lumhe link with the invite, RSVP and a shared Moments album. No returned mail.</t>
  </si>
  <si>
    <t xml:space="preserve">Posts/129_2026-12-10_Carousel_C03_Wedding-envelope-addressing-cheat-sheet/slide_06.jpg</t>
  </si>
  <si>
    <t xml:space="preserve">Print or pixels?</t>
  </si>
  <si>
    <t xml:space="preserve">No hard sell. Here's when each one wins.</t>
  </si>
  <si>
    <t xml:space="preserve">UK-23</t>
  </si>
  <si>
    <t xml:space="preserve">Posts/132_2026-12-11_Carousel_C25_Printed-vs-digital-honest-pros-and-cons/slide_01.jpg</t>
  </si>
  <si>
    <t xml:space="preserve">Printed: pros</t>
  </si>
  <si>
    <t xml:space="preserve">Why paper still has fans</t>
  </si>
  <si>
    <t xml:space="preserve">• A keepsake for the mantelpiece
• Gold foil and letterpress feel special in hand
• Covers grandparents without smartphones
• Suits very formal occasions</t>
  </si>
  <si>
    <t xml:space="preserve">UK-44</t>
  </si>
  <si>
    <t xml:space="preserve">Posts/132_2026-12-11_Carousel_C25_Printed-vs-digital-honest-pros-and-cons/slide_02.jpg</t>
  </si>
  <si>
    <t xml:space="preserve">Printed: cons</t>
  </si>
  <si>
    <t xml:space="preserve">Where paper gets tricky</t>
  </si>
  <si>
    <t xml:space="preserve">• Order months ahead for printing and posting
• Postage adds up per guest
• Venue time changes? Reprint or ring round
• RSVP cards come back slowly, if at all</t>
  </si>
  <si>
    <t xml:space="preserve">Posts/132_2026-12-11_Carousel_C25_Printed-vs-digital-honest-pros-and-cons/slide_03.jpg</t>
  </si>
  <si>
    <t xml:space="preserve">Digital: pros</t>
  </si>
  <si>
    <t xml:space="preserve">Why links keep winning</t>
  </si>
  <si>
    <t xml:space="preserve">• Arrives in seconds on WhatsApp, SMS or email
• Update details once, everyone sees it
• RSVPs tracked as they arrive
• Day and evening guests see different details</t>
  </si>
  <si>
    <t xml:space="preserve">Posts/132_2026-12-11_Carousel_C25_Printed-vs-digital-honest-pros-and-cons/slide_04.jpg</t>
  </si>
  <si>
    <t xml:space="preserve">Digital: cons</t>
  </si>
  <si>
    <t xml:space="preserve">Be honest about these too</t>
  </si>
  <si>
    <t xml:space="preserve">• Can feel casual for very formal events
• Easy to miss in a busy group chat
• Some older guests prefer a phone call or card</t>
  </si>
  <si>
    <t xml:space="preserve">Posts/132_2026-12-11_Carousel_C25_Printed-vs-digital-honest-pros-and-cons/slide_05.jpg</t>
  </si>
  <si>
    <t xml:space="preserve">Best of both</t>
  </si>
  <si>
    <t xml:space="preserve">Print a few, link the rest</t>
  </si>
  <si>
    <t xml:space="preserve">Upload your printed design to Lumhe as an image or PDF. One link carries the RSVP, details and a shared photo album.</t>
  </si>
  <si>
    <t xml:space="preserve">Posts/132_2026-12-11_Carousel_C25_Printed-vs-digital-honest-pros-and-cons/slide_06.jpg</t>
  </si>
  <si>
    <t xml:space="preserve">We're engaged!</t>
  </si>
  <si>
    <t xml:space="preserve">Wording and design ideas for UK couples.</t>
  </si>
  <si>
    <t xml:space="preserve">Posts/133_2026-12-12_Carousel_C33_UK-engagement-party-wording-and-design/slide_01.jpg</t>
  </si>
  <si>
    <t xml:space="preserve">Hosted by parents</t>
  </si>
  <si>
    <t xml:space="preserve">"Mr and Mrs [Surname] are delighted to invite you to celebrate the engagement of their daughter [Name] to [Name]. [Date], 7pm, [Venue]. Drinks and canapés."</t>
  </si>
  <si>
    <t xml:space="preserve">Posts/133_2026-12-12_Carousel_C33_UK-engagement-party-wording-and-design/slide_02.jpg</t>
  </si>
  <si>
    <t xml:space="preserve">Hosted by you</t>
  </si>
  <si>
    <t xml:space="preserve">Relaxed and pub-friendly</t>
  </si>
  <si>
    <t xml:space="preserve">"We're engaged! Come and raise a glass with us at [Pub] on [Date] from 7pm. First round's on us."</t>
  </si>
  <si>
    <t xml:space="preserve">Posts/133_2026-12-12_Carousel_C33_UK-engagement-party-wording-and-design/slide_03.jpg</t>
  </si>
  <si>
    <t xml:space="preserve">Make it look like you</t>
  </si>
  <si>
    <t xml:space="preserve">• Letterpress initials for a classic feel
• A watercolour of where you got engaged
• Your proposal photo, kept simple
• Save the luxury card stock for the wedding</t>
  </si>
  <si>
    <t xml:space="preserve">Posts/133_2026-12-12_Carousel_C33_UK-engagement-party-wording-and-design/slide_04.jpg</t>
  </si>
  <si>
    <t xml:space="preserve">• Only invite people you'll ask to the wedding
• Send 3–4 weeks ahead; venues book fast
• Say "no gifts, please" or skip it entirely
• Say whether partners are invited</t>
  </si>
  <si>
    <t xml:space="preserve">Posts/133_2026-12-12_Carousel_C33_UK-engagement-party-wording-and-design/slide_05.jpg</t>
  </si>
  <si>
    <t xml:space="preserve">On Lumhe</t>
  </si>
  <si>
    <t xml:space="preserve">Letterpress feel, digital speed</t>
  </si>
  <si>
    <t xml:space="preserve">Upload your design as an image or PDF, share one link on WhatsApp or email, and see who's coming in real time.</t>
  </si>
  <si>
    <t xml:space="preserve">Posts/133_2026-12-12_Carousel_C33_UK-engagement-party-wording-and-design/slide_06.jpg</t>
  </si>
  <si>
    <t xml:space="preserve">College farewell</t>
  </si>
  <si>
    <t xml:space="preserve">Farewell invite wording your seniors will screenshot.</t>
  </si>
  <si>
    <t xml:space="preserve">Posts/137_2026-12-14_Carousel_E19_College-farewell-invite-by-juniors/slide_01.jpg</t>
  </si>
  <si>
    <t xml:space="preserve">Opening line</t>
  </si>
  <si>
    <t xml:space="preserve">Start with a little drama</t>
  </si>
  <si>
    <t xml:space="preserve">"Dear Seniors, you guided us, fed us canteen gossip and passed on your notes. Now it's our turn to send you off in style."</t>
  </si>
  <si>
    <t xml:space="preserve">Posts/137_2026-12-14_Carousel_E19_College-farewell-invite-by-juniors/slide_02.jpg</t>
  </si>
  <si>
    <t xml:space="preserve">Formal version</t>
  </si>
  <si>
    <t xml:space="preserve">For the principal and faculty</t>
  </si>
  <si>
    <t xml:space="preserve">"The second-year students cordially invite you to the farewell of the Batch of 2027 on Saturday, 6 March, at 5 PM in the college auditorium."</t>
  </si>
  <si>
    <t xml:space="preserve">Posts/137_2026-12-14_Carousel_E19_College-farewell-invite-by-juniors/slide_03.jpg</t>
  </si>
  <si>
    <t xml:space="preserve">Pick a theme seniors will love</t>
  </si>
  <si>
    <t xml:space="preserve">• Saree and suit day
• Retro Bollywood night
• Last-bench awards
• Black-and-gold formals</t>
  </si>
  <si>
    <t xml:space="preserve">Posts/137_2026-12-14_Carousel_E19_College-farewell-invite-by-juniors/slide_04.jpg</t>
  </si>
  <si>
    <t xml:space="preserve">The juniors' to-do list</t>
  </si>
  <si>
    <t xml:space="preserve">• Book the hall and sound
• Collect contributions
• Write a title for every senior
• Invite faculty personally</t>
  </si>
  <si>
    <t xml:space="preserve">Posts/137_2026-12-14_Carousel_E19_College-farewell-invite-by-juniors/slide_05.jpg</t>
  </si>
  <si>
    <t xml:space="preserve">One link for the whole batch</t>
  </si>
  <si>
    <t xml:space="preserve">Share it in the class group, see exactly who's coming, then collect every selfie and stage photo in one Moments album.</t>
  </si>
  <si>
    <t xml:space="preserve">Posts/137_2026-12-14_Carousel_E19_College-farewell-invite-by-juniors/slide_06.jpg</t>
  </si>
  <si>
    <t xml:space="preserve">Budget check</t>
  </si>
  <si>
    <t xml:space="preserve">The card is the cheap part. Here's where it adds up.</t>
  </si>
  <si>
    <t xml:space="preserve">Posts/139_2026-12-15_Carousel_C05_Wedding-invitation-costs-print-vs-digita/slide_01.jpg</t>
  </si>
  <si>
    <t xml:space="preserve">Count first</t>
  </si>
  <si>
    <t xml:space="preserve">Price per envelope, not per guest</t>
  </si>
  <si>
    <t xml:space="preserve">Couples and families share one envelope, so your print order is smaller than your headcount. Get your household count before you request a single quote.</t>
  </si>
  <si>
    <t xml:space="preserve">Posts/139_2026-12-15_Carousel_C05_Wedding-invitation-costs-print-vs-digita/slide_02.jpg</t>
  </si>
  <si>
    <t xml:space="preserve">Hidden extras</t>
  </si>
  <si>
    <t xml:space="preserve">The line items nobody mentions</t>
  </si>
  <si>
    <t xml:space="preserve">• Inner and outer envelopes
• Reply card plus a stamped return envelope
• Extra postage for square, heavy or wax-sealed envelopes
• Addressing or calligraphy</t>
  </si>
  <si>
    <t xml:space="preserve">Posts/139_2026-12-15_Carousel_C05_Wedding-invitation-costs-print-vs-digita/slide_03.jpg</t>
  </si>
  <si>
    <t xml:space="preserve">Where to trim</t>
  </si>
  <si>
    <t xml:space="preserve">Cut costs guests won't notice</t>
  </si>
  <si>
    <t xml:space="preserve">• Print one main card; put hotels, dress code and directions online
• Drop the reply card and its stamp
• Order a few spares, not dozens</t>
  </si>
  <si>
    <t xml:space="preserve">Posts/139_2026-12-15_Carousel_C05_Wedding-invitation-costs-print-vs-digita/slide_04.jpg</t>
  </si>
  <si>
    <t xml:space="preserve">Go hybrid</t>
  </si>
  <si>
    <t xml:space="preserve">Paper for some, digital for most</t>
  </si>
  <si>
    <t xml:space="preserve">Mail printed suites to grandparents and anyone who'll frame them. Send everyone else a digital version of the same design, with RSVP built in.</t>
  </si>
  <si>
    <t xml:space="preserve">Posts/139_2026-12-15_Carousel_C05_Wedding-invitation-costs-print-vs-digita/slide_05.jpg</t>
  </si>
  <si>
    <t xml:space="preserve">Spend on paper where it counts</t>
  </si>
  <si>
    <t xml:space="preserve">Upload your design, share one link, collect RSVPs and gather everyone's photos in Moments. Free to create, nothing to post.</t>
  </si>
  <si>
    <t xml:space="preserve">Posts/139_2026-12-15_Carousel_C05_Wedding-invitation-costs-print-vs-digita/slide_06.jpg</t>
  </si>
  <si>
    <t xml:space="preserve">Holiday hosting</t>
  </si>
  <si>
    <t xml:space="preserve">Office, family, friends: copy, paste, personalize.</t>
  </si>
  <si>
    <t xml:space="preserve">US-12</t>
  </si>
  <si>
    <t xml:space="preserve">Posts/140_2026-12-15_Carousel_C20_Christmas-party-wording-for-three-crowds/slide_01.jpg</t>
  </si>
  <si>
    <t xml:space="preserve">The office</t>
  </si>
  <si>
    <t xml:space="preserve">Festive, but HR-approved</t>
  </si>
  <si>
    <t xml:space="preserve">"Join the team for our Holiday Celebration! Food, drinks and a white elephant swap ($25 limit). [Date], 6–9 PM at [Venue]. Plus-ones welcome. RSVP by [Date]."</t>
  </si>
  <si>
    <t xml:space="preserve">Posts/140_2026-12-15_Carousel_C20_Christmas-party-wording-for-three-crowds/slide_02.jpg</t>
  </si>
  <si>
    <t xml:space="preserve">The family</t>
  </si>
  <si>
    <t xml:space="preserve">For cousins, aunts and everyone</t>
  </si>
  <si>
    <t xml:space="preserve">"Stockings are hung and the ham is in the oven. Come home for Christmas dinner at the [Family] house, [Date], 4 PM. Bring your appetite and coziest sweater."</t>
  </si>
  <si>
    <t xml:space="preserve">Posts/140_2026-12-15_Carousel_C20_Christmas-party-wording-for-three-crowds/slide_03.jpg</t>
  </si>
  <si>
    <t xml:space="preserve">The friends</t>
  </si>
  <si>
    <t xml:space="preserve">Ugly sweaters strongly encouraged</t>
  </si>
  <si>
    <t xml:space="preserve">"'Tis the season to be tacky. Ugly Sweater Party at [Name]'s, [Date], 8 PM. Best (worst) sweater wins a prize. Bring a snack to share."</t>
  </si>
  <si>
    <t xml:space="preserve">Posts/140_2026-12-15_Carousel_C20_Christmas-party-wording-for-three-crowds/slide_04.jpg</t>
  </si>
  <si>
    <t xml:space="preserve">When to send each one</t>
  </si>
  <si>
    <t xml:space="preserve">• Office party: 3–4 weeks ahead, before calendars fill
• Family dinner: 2–3 weeks, earlier if people fly in
• Friends: 2 weeks, plus a nudge 3 days before</t>
  </si>
  <si>
    <t xml:space="preserve">UK-25</t>
  </si>
  <si>
    <t xml:space="preserve">Posts/140_2026-12-15_Carousel_C20_Christmas-party-wording-for-three-crowds/slide_05.jpg</t>
  </si>
  <si>
    <t xml:space="preserve">One link</t>
  </si>
  <si>
    <t xml:space="preserve">Send it tonight, track RSVPs live</t>
  </si>
  <si>
    <t xml:space="preserve">Upload your design or make one on Lumhe, share by text or email, and watch the headcount update. No app or login for guests.</t>
  </si>
  <si>
    <t xml:space="preserve">Posts/140_2026-12-15_Carousel_C20_Christmas-party-wording-for-three-crowds/slide_06.jpg</t>
  </si>
  <si>
    <t xml:space="preserve">Shagun, two ways</t>
  </si>
  <si>
    <t xml:space="preserve">When each one makes sense, honestly.</t>
  </si>
  <si>
    <t xml:space="preserve">Posts/143_2026-12-17_Carousel_E24_Paper-shagun-envelope-vs-Digital-Lifafa/slide_01.jpg</t>
  </si>
  <si>
    <t xml:space="preserve">Paper lifafa</t>
  </si>
  <si>
    <t xml:space="preserve">Still perfect in person</t>
  </si>
  <si>
    <t xml:space="preserve">• Handed over with a blessing
• The extra ₹1 for a shubh beginning
• Loved by elders
• But easy to misplace in the rush</t>
  </si>
  <si>
    <t xml:space="preserve">Posts/143_2026-12-17_Carousel_E24_Paper-shagun-envelope-vs-Digital-Lifafa/slide_02.jpg</t>
  </si>
  <si>
    <t xml:space="preserve">The real problem</t>
  </si>
  <si>
    <t xml:space="preserve">Who sent which envelope?</t>
  </si>
  <si>
    <t xml:space="preserve">After the reception, someone sits with a pile of lifafas, a notebook and a pen, matching names to envelopes for the thank-you calls.</t>
  </si>
  <si>
    <t xml:space="preserve">Posts/143_2026-12-17_Carousel_E24_Paper-shagun-envelope-vs-Digital-Lifafa/slide_03.jpg</t>
  </si>
  <si>
    <t xml:space="preserve">Digital Lifafa</t>
  </si>
  <si>
    <t xml:space="preserve">Shagun by UPI, straight to the host</t>
  </si>
  <si>
    <t xml:space="preserve">• Goes to the host's own UPI ID
• Lumhe never touches the money
• Easy for relatives who can't travel
• No ATM run before the wedding</t>
  </si>
  <si>
    <t xml:space="preserve">Posts/143_2026-12-17_Carousel_E24_Paper-shagun-envelope-vs-Digital-Lifafa/slide_04.jpg</t>
  </si>
  <si>
    <t xml:space="preserve">Use both</t>
  </si>
  <si>
    <t xml:space="preserve">Most families will use both</t>
  </si>
  <si>
    <t xml:space="preserve">Keep paper envelopes for guests who come in person. Share Digital Lifafa with relatives abroad or anyone who'd rather pay by UPI.</t>
  </si>
  <si>
    <t xml:space="preserve">Posts/143_2026-12-17_Carousel_E24_Paper-shagun-envelope-vs-Digital-Lifafa/slide_05.jpg</t>
  </si>
  <si>
    <t xml:space="preserve">Add Digital Lifafa to your invite</t>
  </si>
  <si>
    <t xml:space="preserve">Add it to your Lumhe event and share one link. Shagun goes straight to your UPI. Available in India only.</t>
  </si>
  <si>
    <t xml:space="preserve">Posts/143_2026-12-17_Carousel_E24_Paper-shagun-envelope-vs-Digital-Lifafa/slide_06.jpg</t>
  </si>
  <si>
    <t xml:space="preserve">Baby celebrations</t>
  </si>
  <si>
    <t xml:space="preserve">Copy-ready lines for before and after baby arrives.</t>
  </si>
  <si>
    <t xml:space="preserve">Posts/147_2026-12-19_Carousel_C16_Baby-shower-and-sip-and-see-wording/slide_01.jpg</t>
  </si>
  <si>
    <t xml:space="preserve">Baby shower</t>
  </si>
  <si>
    <t xml:space="preserve">Classic shower wording</t>
  </si>
  <si>
    <t xml:space="preserve">"Oh baby! Please join us for a shower honoring Maya Torres. Saturday, January 9, 2 pm, 14 Elm Street. Registry details inside. Kindly reply by January 2."</t>
  </si>
  <si>
    <t xml:space="preserve">Posts/147_2026-12-19_Carousel_C16_Baby-shower-and-sip-and-see-wording/slide_02.jpg</t>
  </si>
  <si>
    <t xml:space="preserve">Sip &amp; see</t>
  </si>
  <si>
    <t xml:space="preserve">After baby arrives</t>
  </si>
  <si>
    <t xml:space="preserve">"She's here, and she'd love to meet you! Come sip, snack and say hello to Baby Nora. Sunday, February 7, 1 to 3 pm. Short visits welcome."</t>
  </si>
  <si>
    <t xml:space="preserve">Posts/147_2026-12-19_Carousel_C16_Baby-shower-and-sip-and-see-wording/slide_03.jpg</t>
  </si>
  <si>
    <t xml:space="preserve">Who, when and what to include</t>
  </si>
  <si>
    <t xml:space="preserve">• A friend or relative usually hosts the shower
• Registry info is fine on shower invites
• Send four to six weeks ahead
• Sip and see: gifts optional</t>
  </si>
  <si>
    <t xml:space="preserve">Posts/147_2026-12-19_Carousel_C16_Baby-shower-and-sip-and-see-wording/slide_04.jpg</t>
  </si>
  <si>
    <t xml:space="preserve">Why RSVP online</t>
  </si>
  <si>
    <t xml:space="preserve">Tired parents shouldn't chase replies</t>
  </si>
  <si>
    <t xml:space="preserve">The host sees a live count for food and favors, guests reply in one tap, and nobody digs through texts to work out who's coming.</t>
  </si>
  <si>
    <t xml:space="preserve">Posts/147_2026-12-19_Carousel_C16_Baby-shower-and-sip-and-see-wording/slide_05.jpg</t>
  </si>
  <si>
    <t xml:space="preserve">Invite, RSVP and photos, sorted</t>
  </si>
  <si>
    <t xml:space="preserve">Share one link with live RSVP, then collect every guest's photos of the day in a Moments album the parents keep.</t>
  </si>
  <si>
    <t xml:space="preserve">Posts/147_2026-12-19_Carousel_C16_Baby-shower-and-sip-and-see-wording/slide_06.jpg</t>
  </si>
  <si>
    <t xml:space="preserve">Card matter</t>
  </si>
  <si>
    <t xml:space="preserve">Hindi and English lines for your Hindu wedding card.</t>
  </si>
  <si>
    <t xml:space="preserve">IN-24</t>
  </si>
  <si>
    <t xml:space="preserve">Posts/149_2026-12-20_Carousel_C08_Hindu-wedding-card-matter-Hindi-and-Engl/slide_01.jpg</t>
  </si>
  <si>
    <t xml:space="preserve">Start here</t>
  </si>
  <si>
    <t xml:space="preserve">Open with an invocation</t>
  </si>
  <si>
    <t xml:space="preserve">• || Shri Ganeshaya Namah || on top
• Or the shloka: Vakratunda Mahakaya Suryakoti Samaprabha
• Add your kuldevi or kuldevta's name below, if your family does</t>
  </si>
  <si>
    <t xml:space="preserve">Posts/149_2026-12-20_Carousel_C08_Hindu-wedding-card-matter-Hindi-and-Engl/slide_02.jpg</t>
  </si>
  <si>
    <t xml:space="preserve">Hindi amantran</t>
  </si>
  <si>
    <t xml:space="preserve">The main invitation line</t>
  </si>
  <si>
    <t xml:space="preserve">"Hamare suputra Chi. Rahul sang Sau. Ka. Priya ke shubh vivah ke avsar par aapki garimamayi upasthiti prarthaniya hai."
Chi. for the groom, Sau. Ka. for the bride.</t>
  </si>
  <si>
    <t xml:space="preserve">Posts/149_2026-12-20_Carousel_C08_Hindu-wedding-card-matter-Hindi-and-Engl/slide_03.jpg</t>
  </si>
  <si>
    <t xml:space="preserve">For a daughter</t>
  </si>
  <si>
    <t xml:space="preserve">English wording from the bride's parents</t>
  </si>
  <si>
    <t xml:space="preserve">"Mr and Mrs Anil Sharma request the pleasure of your company at the wedding of their daughter Priya with Rahul, son of Mr and Mrs Suresh Verma."</t>
  </si>
  <si>
    <t xml:space="preserve">IN-4</t>
  </si>
  <si>
    <t xml:space="preserve">Posts/149_2026-12-20_Carousel_C08_Hindu-wedding-card-matter-Hindi-and-Engl/slide_04.jpg</t>
  </si>
  <si>
    <t xml:space="preserve">Closing lines</t>
  </si>
  <si>
    <t xml:space="preserve">End with family and a smile</t>
  </si>
  <si>
    <t xml:space="preserve">• Darshanabhilashi: elders and family names
• Swagatotsuk: the hosts welcoming you
• Bal manuhar: "Mere chachu ki shaadi mein zaroor padharna!"</t>
  </si>
  <si>
    <t xml:space="preserve">Posts/149_2026-12-20_Carousel_C08_Hindu-wedding-card-matter-Hindi-and-Engl/slide_05.jpg</t>
  </si>
  <si>
    <t xml:space="preserve">One card, every function sorted</t>
  </si>
  <si>
    <t xml:space="preserve">Upload your card as PDF, image or video. Add Haldi, Mehendi, Sangeet and Phere. Guests RSVP per function, and shagun can come via Digital Lifafa.</t>
  </si>
  <si>
    <t xml:space="preserve">Posts/149_2026-12-20_Carousel_C08_Hindu-wedding-card-matter-Hindi-and-Engl/slide_06.jpg</t>
  </si>
  <si>
    <t xml:space="preserve">31 December</t>
  </si>
  <si>
    <t xml:space="preserve">Invite wording and a midnight checklist.</t>
  </si>
  <si>
    <t xml:space="preserve">US-8</t>
  </si>
  <si>
    <t xml:space="preserve">Posts/151_2026-12-21_Carousel_F35_New-Year-s-Eve-party-plan-and-invite/slide_01.jpg</t>
  </si>
  <si>
    <t xml:space="preserve">Three nights, three tones</t>
  </si>
  <si>
    <t xml:space="preserve">• Cosy: "Fire pit, blankets and a toast at midnight. Come ring in 2027 with us."
• Dressy: "Black and gold, bubbles at 11:59."
• Potluck: "Bring a dish and one resolution."</t>
  </si>
  <si>
    <t xml:space="preserve">Posts/151_2026-12-21_Carousel_F35_New-Year-s-Eve-party-plan-and-invite/slide_02.jpg</t>
  </si>
  <si>
    <t xml:space="preserve">Midnight kit</t>
  </si>
  <si>
    <t xml:space="preserve">Before guests arrive</t>
  </si>
  <si>
    <t xml:space="preserve">• Glasses for bubbly, plus an alcohol-free option
• Noisemakers and sparklers
• A countdown playlist on one speaker
• Extra blankets or heaters if you're outdoors</t>
  </si>
  <si>
    <t xml:space="preserve">US-58</t>
  </si>
  <si>
    <t xml:space="preserve">Posts/151_2026-12-21_Carousel_F35_New-Year-s-Eve-party-plan-and-invite/slide_03.jpg</t>
  </si>
  <si>
    <t xml:space="preserve">Smart extras</t>
  </si>
  <si>
    <t xml:space="preserve">What guests appreciate</t>
  </si>
  <si>
    <t xml:space="preserve">• An end time or last-ride note
• Parking or cab details
• A dress code in three words
• An RSVP deadline: the 28th works</t>
  </si>
  <si>
    <t xml:space="preserve">Posts/151_2026-12-21_Carousel_F35_New-Year-s-Eve-party-plan-and-invite/slide_04.jpg</t>
  </si>
  <si>
    <t xml:space="preserve">After midnight</t>
  </si>
  <si>
    <t xml:space="preserve">Save the countdown</t>
  </si>
  <si>
    <t xml:space="preserve">Ask everyone to upload their photos and videos the next morning, so the whole night lands in one album.</t>
  </si>
  <si>
    <t xml:space="preserve">Posts/151_2026-12-21_Carousel_F35_New-Year-s-Eve-party-plan-and-invite/slide_05.jpg</t>
  </si>
  <si>
    <t xml:space="preserve">One link, real numbers</t>
  </si>
  <si>
    <t xml:space="preserve">Share your invite, track RSVPs live and collect photos in one Moments album.</t>
  </si>
  <si>
    <t xml:space="preserve">Posts/151_2026-12-21_Carousel_F35_New-Year-s-Eve-party-plan-and-invite/slide_06.jpg</t>
  </si>
  <si>
    <t xml:space="preserve">New keys</t>
  </si>
  <si>
    <t xml:space="preserve">Wording and etiquette for your first party there.</t>
  </si>
  <si>
    <t xml:space="preserve">Posts/153_2026-12-22_Carousel_C21_Housewarming-wording-and-etiquette/slide_01.jpg</t>
  </si>
  <si>
    <t xml:space="preserve">Casual wording</t>
  </si>
  <si>
    <t xml:space="preserve">For friends who'll help unpack</t>
  </si>
  <si>
    <t xml:space="preserve">"We finally have room for all of you! Come see the new place at [Address] on [Date], 3–7 PM. Snacks on us, tour included."</t>
  </si>
  <si>
    <t xml:space="preserve">Posts/153_2026-12-22_Carousel_C21_Housewarming-wording-and-etiquette/slide_02.jpg</t>
  </si>
  <si>
    <t xml:space="preserve">Open house</t>
  </si>
  <si>
    <t xml:space="preserve">Drop in, stay a while</t>
  </si>
  <si>
    <t xml:space="preserve">"Our door is open! Stop by anytime between 1 and 5 PM on [Date] to celebrate our new home at [Address]. Kids and dogs welcome."</t>
  </si>
  <si>
    <t xml:space="preserve">Posts/153_2026-12-22_Carousel_C21_Housewarming-wording-and-etiquette/slide_03.jpg</t>
  </si>
  <si>
    <t xml:space="preserve">The gift question, answered</t>
  </si>
  <si>
    <t xml:space="preserve">• Guests often bring something small: wine, plants, candles
• Skip registry links
• "No gifts, just you" is perfectly fine to say
• Send thank-yous within two weeks</t>
  </si>
  <si>
    <t xml:space="preserve">Posts/153_2026-12-22_Carousel_C21_Housewarming-wording-and-etiquette/slide_04.jpg</t>
  </si>
  <si>
    <t xml:space="preserve">Host notes</t>
  </si>
  <si>
    <t xml:space="preserve">Practical details guests need</t>
  </si>
  <si>
    <t xml:space="preserve">• Send invites 2–3 weeks ahead
• Add parking tips and gate or buzzer codes
• Neighbors? Invite them, or at least give a heads-up
• Boxes in the garage are fine</t>
  </si>
  <si>
    <t xml:space="preserve">Posts/153_2026-12-22_Carousel_C21_Housewarming-wording-and-etiquette/slide_05.jpg</t>
  </si>
  <si>
    <t xml:space="preserve">Lumhe</t>
  </si>
  <si>
    <t xml:space="preserve">One link: address, RSVPs, photos</t>
  </si>
  <si>
    <t xml:space="preserve">Share it by text, get a live headcount for the snack run, and let guests add tour-day photos to a Moments album.</t>
  </si>
  <si>
    <t xml:space="preserve">Posts/153_2026-12-22_Carousel_C21_Housewarming-wording-and-etiquette/slide_06.jpg</t>
  </si>
  <si>
    <t xml:space="preserve">By the year</t>
  </si>
  <si>
    <t xml:space="preserve">From year one to fifty, wording that fits.</t>
  </si>
  <si>
    <t xml:space="preserve">IN-2</t>
  </si>
  <si>
    <t xml:space="preserve">Posts/155_2026-12-23_Carousel_C09_Anniversary-wishes-by-milestone-year/slide_01.jpg</t>
  </si>
  <si>
    <t xml:space="preserve">1st: paper</t>
  </si>
  <si>
    <t xml:space="preserve">Keep it playful for newlyweds</t>
  </si>
  <si>
    <t xml:space="preserve">"One year of chai for two and fights over the AC remote. Happy first anniversary, you two!"</t>
  </si>
  <si>
    <t xml:space="preserve">Posts/155_2026-12-23_Carousel_C09_Anniversary-wishes-by-milestone-year/slide_02.jpg</t>
  </si>
  <si>
    <t xml:space="preserve">25th: silver</t>
  </si>
  <si>
    <t xml:space="preserve">The silver jubilee wish</t>
  </si>
  <si>
    <t xml:space="preserve">"Twenty-five years of choosing each other, every single day. Silver suits you both."
Tip: pair it with a photo from their wedding year.</t>
  </si>
  <si>
    <t xml:space="preserve">Posts/155_2026-12-23_Carousel_C09_Anniversary-wishes-by-milestone-year/slide_03.jpg</t>
  </si>
  <si>
    <t xml:space="preserve">30th: pearl</t>
  </si>
  <si>
    <t xml:space="preserve">Layer by layer, like a pearl</t>
  </si>
  <si>
    <t xml:space="preserve">"Thirty years, and Papa still saves the last bite for you. Happy Pearl Anniversary, Mummy-Papa."</t>
  </si>
  <si>
    <t xml:space="preserve">IN-38</t>
  </si>
  <si>
    <t xml:space="preserve">Posts/155_2026-12-23_Carousel_C09_Anniversary-wishes-by-milestone-year/slide_04.jpg</t>
  </si>
  <si>
    <t xml:space="preserve">40th and 50th</t>
  </si>
  <si>
    <t xml:space="preserve">Ruby and golden years</t>
  </si>
  <si>
    <t xml:space="preserve">• 40th: "Forty years, and still each other's favourite person."
• 50th: "Aapki jodi hamesha salamat rahe. Happy Golden Jubilee!"
• Let the grandchildren read it aloud</t>
  </si>
  <si>
    <t xml:space="preserve">Posts/155_2026-12-23_Carousel_C09_Anniversary-wishes-by-milestone-year/slide_05.jpg</t>
  </si>
  <si>
    <t xml:space="preserve">Throw them the party</t>
  </si>
  <si>
    <t xml:space="preserve">Send one invite link, track family RSVPs and fill a Moments album with old and new photos. Relatives far away can send shagun by Digital Lifafa.</t>
  </si>
  <si>
    <t xml:space="preserve">Posts/155_2026-12-23_Carousel_C09_Anniversary-wishes-by-milestone-year/slide_06.jpg</t>
  </si>
  <si>
    <t xml:space="preserve">Retirement party</t>
  </si>
  <si>
    <t xml:space="preserve">Wording for office, family and year-end send-offs.</t>
  </si>
  <si>
    <t xml:space="preserve">Posts/161_2026-12-26_Carousel_C22_Retirement-party-invitation-wording/slide_01.jpg</t>
  </si>
  <si>
    <t xml:space="preserve">Office send-off</t>
  </si>
  <si>
    <t xml:space="preserve">Formal enough for the whole department</t>
  </si>
  <si>
    <t xml:space="preserve">"Please join us in celebrating [Name]'s retirement after [Number] years with [Company]. [Date], 4–6 PM, [Venue]. Light refreshments served. RSVP by [Date]."</t>
  </si>
  <si>
    <t xml:space="preserve">Posts/161_2026-12-26_Carousel_C22_Retirement-party-invitation-wording/slide_02.jpg</t>
  </si>
  <si>
    <t xml:space="preserve">Family &amp; friends</t>
  </si>
  <si>
    <t xml:space="preserve">Warm, and a little funny</t>
  </si>
  <si>
    <t xml:space="preserve">"No more alarms, no more commute! Help us toast [Name]'s next chapter. Dinner at [Venue], [Date], 7 PM. Stories and embarrassing photos welcome."</t>
  </si>
  <si>
    <t xml:space="preserve">Posts/161_2026-12-26_Carousel_C22_Retirement-party-invitation-wording/slide_03.jpg</t>
  </si>
  <si>
    <t xml:space="preserve">Year-end send-off</t>
  </si>
  <si>
    <t xml:space="preserve">Retiring as the year wraps up?</t>
  </si>
  <si>
    <t xml:space="preserve">"As the year ends, so does [Name]'s remarkable [Number]-year career. Join us by candlelight on [Date] at [Venue] to celebrate what comes next."</t>
  </si>
  <si>
    <t xml:space="preserve">Posts/161_2026-12-26_Carousel_C22_Retirement-party-invitation-wording/slide_04.jpg</t>
  </si>
  <si>
    <t xml:space="preserve">Small details people appreciate</t>
  </si>
  <si>
    <t xml:space="preserve">• Send invites 3–4 weeks ahead
• Ask guests to bring a favorite memory or note
• Say clearly if it's a no-gift party
• Invite former colleagues, not just current ones</t>
  </si>
  <si>
    <t xml:space="preserve">Posts/161_2026-12-26_Carousel_C22_Retirement-party-invitation-wording/slide_05.jpg</t>
  </si>
  <si>
    <t xml:space="preserve">Collect RSVPs and every toast photo</t>
  </si>
  <si>
    <t xml:space="preserve">Share one link by email or text, track the headcount live, and gather guests' photos in a Moments album the retiree keeps.</t>
  </si>
  <si>
    <t xml:space="preserve">Posts/161_2026-12-26_Carousel_C22_Retirement-party-invitation-wording/slide_06.jpg</t>
  </si>
  <si>
    <t xml:space="preserve">ANNIVERSARY WISHES</t>
  </si>
  <si>
    <t xml:space="preserve">Copy-paste wishes that sound like you wrote them.</t>
  </si>
  <si>
    <t xml:space="preserve">IN-3</t>
  </si>
  <si>
    <t xml:space="preserve">Posts/165_2026-12-28_Carousel_C10_Anniversary-wishes-for-siblings-and-coup/slide_01.jpg</t>
  </si>
  <si>
    <t xml:space="preserve">FOR YOUR SISTER</t>
  </si>
  <si>
    <t xml:space="preserve">Didi and jiju, this one's yours</t>
  </si>
  <si>
    <t xml:space="preserve">• Happy anniversary didi and jiju! You make 'adjust karna' look like a love story.
• To my sister and her better half: may your fights stay short and your chai stay hot.</t>
  </si>
  <si>
    <t xml:space="preserve">Posts/165_2026-12-28_Carousel_C10_Anniversary-wishes-for-siblings-and-coup/slide_02.jpg</t>
  </si>
  <si>
    <t xml:space="preserve">FOR YOUR BROTHER</t>
  </si>
  <si>
    <t xml:space="preserve">Bhaiya and bhabhi, take a bow</t>
  </si>
  <si>
    <t xml:space="preserve">• Happy anniversary bhaiya! Bhabhi, thank you for upgrading him.
• Shaadi ki saalgirah mubarak ho, bhai-bhabhi. May your home always be full of laughter.</t>
  </si>
  <si>
    <t xml:space="preserve">IN-34</t>
  </si>
  <si>
    <t xml:space="preserve">Posts/165_2026-12-28_Carousel_C10_Anniversary-wishes-for-siblings-and-coup/slide_03.jpg</t>
  </si>
  <si>
    <t xml:space="preserve">FAVOURITE COUPLES</t>
  </si>
  <si>
    <t xml:space="preserve">For friends who feel like family</t>
  </si>
  <si>
    <t xml:space="preserve">• Happy anniversary to the couple who hosts every get-together. Thank you for being our home base.
• Dher saari shubhkamnayein from your biggest fans!</t>
  </si>
  <si>
    <t xml:space="preserve">Posts/165_2026-12-28_Carousel_C10_Anniversary-wishes-for-siblings-and-coup/slide_04.jpg</t>
  </si>
  <si>
    <t xml:space="preserve">SEND IT RIGHT</t>
  </si>
  <si>
    <t xml:space="preserve">Small touches that make wishes land</t>
  </si>
  <si>
    <t xml:space="preserve">• Siblings get the midnight message; elders, the morning call
• Add a throwback from their wedding album
• A voice note in your mother tongue beats any forwarded GIF</t>
  </si>
  <si>
    <t xml:space="preserve">Posts/165_2026-12-28_Carousel_C10_Anniversary-wishes-for-siblings-and-coup/slide_05.jpg</t>
  </si>
  <si>
    <t xml:space="preserve">PLAN THEIR PARTY</t>
  </si>
  <si>
    <t xml:space="preserve">Celebrate them on Lumhe</t>
  </si>
  <si>
    <t xml:space="preserve">Planning a surprise dinner for them? One link for the invite, RSVP and a Moments album. Add Digital Lifafa so faraway family can send shagun by UPI.</t>
  </si>
  <si>
    <t xml:space="preserve">Posts/165_2026-12-28_Carousel_C10_Anniversary-wishes-for-siblings-and-coup/slide_06.jpg</t>
  </si>
  <si>
    <t xml:space="preserve">Bridal shower</t>
  </si>
  <si>
    <t xml:space="preserve">Plus template styles and the etiquette nobody tells hosts.</t>
  </si>
  <si>
    <t xml:space="preserve">RU-12</t>
  </si>
  <si>
    <t xml:space="preserve">Posts/167_2026-12-29_Carousel_C27_Bridal-shower-wording-and-template-style/slide_01.jpg</t>
  </si>
  <si>
    <t xml:space="preserve">Pick a style</t>
  </si>
  <si>
    <t xml:space="preserve">Four template looks that never miss</t>
  </si>
  <si>
    <t xml:space="preserve">• Floral garden: roses, peonies, trailing vines
• Brunch &amp; mimosas: champagne flutes, fruit
• Parisian chic: soft pink, script fonts
• Minimal: monogram on crisp white</t>
  </si>
  <si>
    <t xml:space="preserve">Posts/167_2026-12-29_Carousel_C27_Bridal-shower-wording-and-template-style/slide_02.jpg</t>
  </si>
  <si>
    <t xml:space="preserve">Classic wording</t>
  </si>
  <si>
    <t xml:space="preserve">For a traditional afternoon shower</t>
  </si>
  <si>
    <t xml:space="preserve">"Please join us for a bridal shower honoring Olivia Grant, Saturday, March 13 at 1 p.m., at the home of Hannah Moore. Olivia is registered at [store]."</t>
  </si>
  <si>
    <t xml:space="preserve">Posts/167_2026-12-29_Carousel_C27_Bridal-shower-wording-and-template-style/slide_03.jpg</t>
  </si>
  <si>
    <t xml:space="preserve">For brunch or a surprise</t>
  </si>
  <si>
    <t xml:space="preserve">• "Bubbles, brunch and the bride-to-be! Toast Olivia, Sunday at 11."
• "Shh! It's a surprise shower for Olivia. Arrive by 2, hide by 2:15."</t>
  </si>
  <si>
    <t xml:space="preserve">Posts/167_2026-12-29_Carousel_C27_Bridal-shower-wording-and-template-style/slide_04.jpg</t>
  </si>
  <si>
    <t xml:space="preserve">Host rules worth knowing</t>
  </si>
  <si>
    <t xml:space="preserve">• Send invites 4–6 weeks ahead
• Only invite people on the wedding guest list
• Registry details are fine on shower invites
• Set the RSVP date two weeks out</t>
  </si>
  <si>
    <t xml:space="preserve">US-91</t>
  </si>
  <si>
    <t xml:space="preserve">Posts/167_2026-12-29_Carousel_C27_Bridal-shower-wording-and-template-style/slide_05.jpg</t>
  </si>
  <si>
    <t xml:space="preserve">Send it smarter</t>
  </si>
  <si>
    <t xml:space="preserve">One link, every RSVP tracked</t>
  </si>
  <si>
    <t xml:space="preserve">Upload your Canva shower invite to Lumhe, share it by text, and watch replies arrive live. Guests add brunch photos to Moments after.</t>
  </si>
  <si>
    <t xml:space="preserve">Posts/167_2026-12-29_Carousel_C27_Bridal-shower-wording-and-template-style/slide_06.jpg</t>
  </si>
  <si>
    <t xml:space="preserve">COPY-PASTE CAPTIONS</t>
  </si>
  <si>
    <t xml:space="preserve">Lehenga twirls, couple shots and parents' throwbacks.</t>
  </si>
  <si>
    <t xml:space="preserve">IN-17</t>
  </si>
  <si>
    <t xml:space="preserve">Posts/173_2027-01-01_Carousel_C11_Wedding-Instagram-captions-to-copy/slide_01.jpg</t>
  </si>
  <si>
    <t xml:space="preserve">BRIDE SOLO</t>
  </si>
  <si>
    <t xml:space="preserve">For the twirl shot</t>
  </si>
  <si>
    <t xml:space="preserve">• Twirling into forever.
• Lehenga heavy, heart light.
• Dulhan mode: on.
• One twirl for every year I waited for this.</t>
  </si>
  <si>
    <t xml:space="preserve">Posts/173_2027-01-01_Carousel_C11_Wedding-Instagram-captions-to-copy/slide_02.jpg</t>
  </si>
  <si>
    <t xml:space="preserve">COUPLE</t>
  </si>
  <si>
    <t xml:space="preserve">For the two of you</t>
  </si>
  <si>
    <t xml:space="preserve">• Saat phere, endless inside jokes.
• Officially each other's plus-one.
• From 'hi' to 'haan' to husband and wife.
• Ab se, hum.</t>
  </si>
  <si>
    <t xml:space="preserve">Posts/173_2027-01-01_Carousel_C11_Wedding-Instagram-captions-to-copy/slide_03.jpg</t>
  </si>
  <si>
    <t xml:space="preserve">FAMILY</t>
  </si>
  <si>
    <t xml:space="preserve">For the parents' throwback</t>
  </si>
  <si>
    <t xml:space="preserve">• Their wedding then, ours now. Same marigolds.
• Mummy-Papa set the bar. We're just following.
• [X] years ago they said yes; today we did.</t>
  </si>
  <si>
    <t xml:space="preserve">IN-20</t>
  </si>
  <si>
    <t xml:space="preserve">Posts/173_2027-01-01_Carousel_C11_Wedding-Instagram-captions-to-copy/slide_04.jpg</t>
  </si>
  <si>
    <t xml:space="preserve">POSTING TIPS</t>
  </si>
  <si>
    <t xml:space="preserve">Caption etiquette for wedding posts</t>
  </si>
  <si>
    <t xml:space="preserve">• Tag the photographer and makeup artist up top
• Pick one wedding hashtag and share it early
• Ask elders before posting ritual photos
• Wait until the album is ready</t>
  </si>
  <si>
    <t xml:space="preserve">Posts/173_2027-01-01_Carousel_C11_Wedding-Instagram-captions-to-copy/slide_05.jpg</t>
  </si>
  <si>
    <t xml:space="preserve">MOMENTS</t>
  </si>
  <si>
    <t xml:space="preserve">Collect every guest's photos first</t>
  </si>
  <si>
    <t xml:space="preserve">Before you caption, collect. Lumhe Moments gathers photos from every guest's phone in full quality, from the same invite link, and keeps them forever.</t>
  </si>
  <si>
    <t xml:space="preserve">Posts/173_2027-01-01_Carousel_C11_Wedding-Instagram-captions-to-copy/slide_06.jpg</t>
  </si>
  <si>
    <t xml:space="preserve">Luxury etiquette</t>
  </si>
  <si>
    <t xml:space="preserve">Hint: it's not the gold leaf.</t>
  </si>
  <si>
    <t xml:space="preserve">Posts/175_2027-01-02_Carousel_C31_Luxury-invitation-etiquette-lessons/slide_01.jpg</t>
  </si>
  <si>
    <t xml:space="preserve">Lesson 1</t>
  </si>
  <si>
    <t xml:space="preserve">Clarity is the real luxury</t>
  </si>
  <si>
    <t xml:space="preserve">• Full date and start time
• Ceremony and reception venues
• Dress code spelled out: black tie or black tie optional
• One clear RSVP deadline</t>
  </si>
  <si>
    <t xml:space="preserve">Posts/175_2027-01-02_Carousel_C31_Luxury-invitation-etiquette-lessons/slide_02.jpg</t>
  </si>
  <si>
    <t xml:space="preserve">Lesson 2</t>
  </si>
  <si>
    <t xml:space="preserve">Formal wording, done properly</t>
  </si>
  <si>
    <t xml:space="preserve">"The honor of your presence" for a house of worship; "the pleasure of your company" for every other venue. Write dates and times in words.</t>
  </si>
  <si>
    <t xml:space="preserve">Posts/175_2027-01-02_Carousel_C31_Luxury-invitation-etiquette-lessons/slide_03.jpg</t>
  </si>
  <si>
    <t xml:space="preserve">Lesson 3</t>
  </si>
  <si>
    <t xml:space="preserve">Give travelling guests more runway</t>
  </si>
  <si>
    <t xml:space="preserve">• Destination weddings: send 10–12 weeks ahead
• Add a details card for hotels and transport
• Share the address only with confirmed guests when privacy matters</t>
  </si>
  <si>
    <t xml:space="preserve">Posts/175_2027-01-02_Carousel_C31_Luxury-invitation-etiquette-lessons/slide_04.jpg</t>
  </si>
  <si>
    <t xml:space="preserve">Lesson 4</t>
  </si>
  <si>
    <t xml:space="preserve">Personal beats pricey</t>
  </si>
  <si>
    <t xml:space="preserve">• Hand-addressed envelopes
• A short note for close family
• Matching save the date, invite and details card
• No registry on the invitation itself</t>
  </si>
  <si>
    <t xml:space="preserve">Posts/175_2027-01-02_Carousel_C31_Luxury-invitation-etiquette-lessons/slide_05.jpg</t>
  </si>
  <si>
    <t xml:space="preserve">Elegant invite, effortless RSVPs</t>
  </si>
  <si>
    <t xml:space="preserve">Upload your letterpress scan or designer PDF, share one link and track RSVPs for the welcome dinner, ceremony and brunch separately.</t>
  </si>
  <si>
    <t xml:space="preserve">Posts/175_2027-01-02_Carousel_C31_Luxury-invitation-etiquette-lessons/slide_06.jpg</t>
  </si>
  <si>
    <t xml:space="preserve">13 January</t>
  </si>
  <si>
    <t xml:space="preserve">Wording, checklist and menu for the bonfire night.</t>
  </si>
  <si>
    <t xml:space="preserve">Posts/177_2027-01-03_Carousel_F37_Lohri-party-and-first-Lohri-invite-guide/slide_01.jpg</t>
  </si>
  <si>
    <t xml:space="preserve">First Lohri</t>
  </si>
  <si>
    <t xml:space="preserve">Invite wording to copy</t>
  </si>
  <si>
    <t xml:space="preserve">"Our little Gurnoor's first Lohri! Join us around the bonfire on 13 January at 7 pm for rewri, gajak, dhol and lots of blessings. Lohri diyan lakh lakh vadhaiyan!"</t>
  </si>
  <si>
    <t xml:space="preserve">Posts/177_2027-01-03_Carousel_F37_Lohri-party-and-first-Lohri-invite-guide/slide_02.jpg</t>
  </si>
  <si>
    <t xml:space="preserve">Bonfire night</t>
  </si>
  <si>
    <t xml:space="preserve">• Dry wood, and permission if it's a shared space
• Rewri, gajak, moongphali and popcorn to offer the fire
• Dhol booked early
• Shawls and chairs for the elders</t>
  </si>
  <si>
    <t xml:space="preserve">PAIR-LOH_B</t>
  </si>
  <si>
    <t xml:space="preserve">Posts/177_2027-01-03_Carousel_F37_Lohri-party-and-first-Lohri-invite-guide/slide_03.jpg</t>
  </si>
  <si>
    <t xml:space="preserve">The menu</t>
  </si>
  <si>
    <t xml:space="preserve">What everyone expects</t>
  </si>
  <si>
    <t xml:space="preserve">• Sarson da saag and makki di roti
• Gur and til sweets
• Gajar halwa for after
• Hot chai on repeat</t>
  </si>
  <si>
    <t xml:space="preserve">Posts/177_2027-01-03_Carousel_F37_Lohri-party-and-first-Lohri-invite-guide/slide_04.jpg</t>
  </si>
  <si>
    <t xml:space="preserve">The evening</t>
  </si>
  <si>
    <t xml:space="preserve">Ideas guests remember</t>
  </si>
  <si>
    <t xml:space="preserve">• Bhangra and giddha circle by the fire
• Folk songs, starting with Sundar Mundriye
• A photo corner for the newlyweds or the baby</t>
  </si>
  <si>
    <t xml:space="preserve">Posts/177_2027-01-03_Carousel_F37_Lohri-party-and-first-Lohri-invite-guide/slide_05.jpg</t>
  </si>
  <si>
    <t xml:space="preserve">One link for the whole mohalla</t>
  </si>
  <si>
    <t xml:space="preserve">Live RSVP count, a Moments album for bonfire photos, and Digital Lifafa for shagun.</t>
  </si>
  <si>
    <t xml:space="preserve">Posts/177_2027-01-03_Carousel_F37_Lohri-party-and-first-Lohri-invite-guide/slide_06.jpg</t>
  </si>
  <si>
    <t xml:space="preserve">14 January</t>
  </si>
  <si>
    <t xml:space="preserve">Wording and checklists for every way you celebrate.</t>
  </si>
  <si>
    <t xml:space="preserve">PAIR-SAN_A</t>
  </si>
  <si>
    <t xml:space="preserve">Posts/179_2027-01-04_Carousel_F39_Sankranti-Pongal-and-Haldi-Kunku-invite/slide_01.jpg</t>
  </si>
  <si>
    <t xml:space="preserve">Haldi-Kunku</t>
  </si>
  <si>
    <t xml:space="preserve">Marathi invite wording</t>
  </si>
  <si>
    <t xml:space="preserve">"Makar Sankrantinimitta amchya ghari haldi-kunkvacha karyakram ayojit kela aahe. Aapan avashya yave."
We're hosting Haldi-Kunku at home for Sankranti. Please do come.</t>
  </si>
  <si>
    <t xml:space="preserve">Posts/179_2027-01-04_Carousel_F39_Sankranti-Pongal-and-Haldi-Kunku-invite/slide_02.jpg</t>
  </si>
  <si>
    <t xml:space="preserve">Pongal lunch</t>
  </si>
  <si>
    <t xml:space="preserve">An invite for the family</t>
  </si>
  <si>
    <t xml:space="preserve">"The pot is ready to boil over! Join us for sakkarai pongal, sugarcane and a banana-leaf lunch on Pongal day at 12:30."</t>
  </si>
  <si>
    <t xml:space="preserve">PAIR-SAN_B</t>
  </si>
  <si>
    <t xml:space="preserve">Posts/179_2027-01-04_Carousel_F39_Sankranti-Pongal-and-Haldi-Kunku-invite/slide_03.jpg</t>
  </si>
  <si>
    <t xml:space="preserve">Kite party</t>
  </si>
  <si>
    <t xml:space="preserve">Terrace checklist</t>
  </si>
  <si>
    <t xml:space="preserve">• Kites and manja for every age
• Caps, sunscreen and water
• Til chikki and undhiyu for lunch
• A safe railing and a kids-only corner</t>
  </si>
  <si>
    <t xml:space="preserve">Posts/179_2027-01-04_Carousel_F39_Sankranti-Pongal-and-Haldi-Kunku-invite/slide_04.jpg</t>
  </si>
  <si>
    <t xml:space="preserve">Host extras</t>
  </si>
  <si>
    <t xml:space="preserve">Small things that count</t>
  </si>
  <si>
    <t xml:space="preserve">• Vaan packed ahead for every guest
• Til-gud in a bowl by the door
• Fresh kolam or rangoli at the entrance</t>
  </si>
  <si>
    <t xml:space="preserve">Posts/179_2027-01-04_Carousel_F39_Sankranti-Pongal-and-Haldi-Kunku-invite/slide_05.jpg</t>
  </si>
  <si>
    <t xml:space="preserve">Every guest counted</t>
  </si>
  <si>
    <t xml:space="preserve">One link, live RSVPs, a Moments album and Digital Lifafa for gifts.</t>
  </si>
  <si>
    <t xml:space="preserve">Posts/179_2027-01-04_Carousel_F39_Sankranti-Pongal-and-Haldi-Kunku-invite/slide_06.jpg</t>
  </si>
  <si>
    <t xml:space="preserve">Sangeet night</t>
  </si>
  <si>
    <t xml:space="preserve">Design vibes plus wording your cousins will actually reply to.</t>
  </si>
  <si>
    <t xml:space="preserve">Posts/181_2027-01-05_Carousel_C14_Sangeet-invite-ideas-and-wording/slide_01.jpg</t>
  </si>
  <si>
    <t xml:space="preserve">Pick a vibe</t>
  </si>
  <si>
    <t xml:space="preserve">Match the design to the playlist</t>
  </si>
  <si>
    <t xml:space="preserve">• Bollywood marquee: bold type, disco lights
• Mughal mehfil: jewel tones and arches
• Retro filmi poster: hand-painted look
• Fairy-light garden: pastels for an outdoor sangeet</t>
  </si>
  <si>
    <t xml:space="preserve">Posts/181_2027-01-05_Carousel_C14_Sangeet-invite-ideas-and-wording/slide_02.jpg</t>
  </si>
  <si>
    <t xml:space="preserve">Hinglish wording</t>
  </si>
  <si>
    <t xml:space="preserve">For the cousins' group</t>
  </si>
  <si>
    <t xml:space="preserve">"Dholki ready, playlist ready, bas aapki kami hai! Join us for [Bride] &amp; [Groom]'s Sangeet. [Date], [Time], [Venue]. Dress code: dance-floor dhamaka."</t>
  </si>
  <si>
    <t xml:space="preserve">Posts/181_2027-01-05_Carousel_C14_Sangeet-invite-ideas-and-wording/slide_03.jpg</t>
  </si>
  <si>
    <t xml:space="preserve">For the elders' WhatsApp group</t>
  </si>
  <si>
    <t xml:space="preserve">"With great joy, the [Family] family invites you to an evening of music and dance celebrating [Bride] &amp; [Groom]. Kindly grace us with your presence."</t>
  </si>
  <si>
    <t xml:space="preserve">Posts/181_2027-01-05_Carousel_C14_Sangeet-invite-ideas-and-wording/slide_04.jpg</t>
  </si>
  <si>
    <t xml:space="preserve">• Start time, and is dinner served?
• Dress code or colour theme
• Performances planned? Ask families to sign up
• Parking and late-night cab info</t>
  </si>
  <si>
    <t xml:space="preserve">Posts/181_2027-01-05_Carousel_C14_Sangeet-invite-ideas-and-wording/slide_05.jpg</t>
  </si>
  <si>
    <t xml:space="preserve">Sangeet RSVPs, separate from the pheras</t>
  </si>
  <si>
    <t xml:space="preserve">Add Sangeet as its own function. Guests see only their invites, you see a live sangeet headcount, and shagun can come via Digital Lifafa.</t>
  </si>
  <si>
    <t xml:space="preserve">Posts/181_2027-01-05_Carousel_C14_Sangeet-invite-ideas-and-wording/slide_06.jpg</t>
  </si>
  <si>
    <t xml:space="preserve">Birthday wording</t>
  </si>
  <si>
    <t xml:space="preserve">Copy, paste, change the name. Done.</t>
  </si>
  <si>
    <t xml:space="preserve">US-89</t>
  </si>
  <si>
    <t xml:space="preserve">Posts/183_2027-01-06_Carousel_C32_Birthday-invitation-wording-by-age/slide_01.jpg</t>
  </si>
  <si>
    <t xml:space="preserve">Kids &amp; teens</t>
  </si>
  <si>
    <t xml:space="preserve">Short, fun, parent-friendly</t>
  </si>
  <si>
    <t xml:space="preserve">• "Roar on over! Leo is turning 5. Dino dig, cake and chaos, Sat 2–4 p.m."
• "Sweet 16 loading… Ava's party, Friday at 7. Bring your best playlist pick."</t>
  </si>
  <si>
    <t xml:space="preserve">Posts/183_2027-01-06_Carousel_C32_Birthday-invitation-wording-by-age/slide_02.jpg</t>
  </si>
  <si>
    <t xml:space="preserve">20s &amp; 30s</t>
  </si>
  <si>
    <t xml:space="preserve">Cheeky, with the details clear</t>
  </si>
  <si>
    <t xml:space="preserve">• "Twenty-one and finally legal. Rooftop drinks for Jordan, 8 p.m. till late."
• "Thirty, flirty and thriving. Dinner for Priya at [restaurant], 7:30 p.m."</t>
  </si>
  <si>
    <t xml:space="preserve">Posts/183_2027-01-06_Carousel_C32_Birthday-invitation-wording-by-age/slide_03.jpg</t>
  </si>
  <si>
    <t xml:space="preserve">Big milestones</t>
  </si>
  <si>
    <t xml:space="preserve">Warm wording for 50 and beyond</t>
  </si>
  <si>
    <t xml:space="preserve">• "Fifty years of Mike. Join us for dinner, dancing and embarrassing stories."
• "Eighty years of stories. Come hear a few at Rose's birthday lunch, Sunday at 1."</t>
  </si>
  <si>
    <t xml:space="preserve">US-77</t>
  </si>
  <si>
    <t xml:space="preserve">Posts/183_2027-01-06_Carousel_C32_Birthday-invitation-wording-by-age/slide_04.jpg</t>
  </si>
  <si>
    <t xml:space="preserve">Every age</t>
  </si>
  <si>
    <t xml:space="preserve">Never leave these out</t>
  </si>
  <si>
    <t xml:space="preserve">• Date, time and full address
• RSVP deadline
• Theme or dress code
• Parking, gifts or dietary notes</t>
  </si>
  <si>
    <t xml:space="preserve">Posts/183_2027-01-06_Carousel_C32_Birthday-invitation-wording-by-age/slide_05.jpg</t>
  </si>
  <si>
    <t xml:space="preserve">Send with Lumhe</t>
  </si>
  <si>
    <t xml:space="preserve">One link, live RSVPs</t>
  </si>
  <si>
    <t xml:space="preserve">Upload or design your birthday invite, share it by text or email and watch the headcount update. Guests add party photos to Moments afterward.</t>
  </si>
  <si>
    <t xml:space="preserve">Posts/183_2027-01-06_Carousel_C32_Birthday-invitation-wording-by-age/slide_06.jpg</t>
  </si>
  <si>
    <t xml:space="preserve">Roka to ring</t>
  </si>
  <si>
    <t xml:space="preserve">Formal, Hindi and fun versions for every family group.</t>
  </si>
  <si>
    <t xml:space="preserve">RU-5</t>
  </si>
  <si>
    <t xml:space="preserve">Posts/187_2027-01-08_Carousel_C15_Roka-and-ring-ceremony-wording/slide_01.jpg</t>
  </si>
  <si>
    <t xml:space="preserve">Formal English</t>
  </si>
  <si>
    <t xml:space="preserve">For the printed card and elders</t>
  </si>
  <si>
    <t xml:space="preserve">"With the blessings of our elders, the [Family] family requests the pleasure of your company at the engagement ceremony of [Name] and [Name]. [Date], [Time], [Venue]."</t>
  </si>
  <si>
    <t xml:space="preserve">Posts/187_2027-01-08_Carousel_C15_Roka-and-ring-ceremony-wording/slide_02.jpg</t>
  </si>
  <si>
    <t xml:space="preserve">Hindi</t>
  </si>
  <si>
    <t xml:space="preserve">Roka ki shubh ghadi</t>
  </si>
  <si>
    <t xml:space="preserve">"Shubh roka samaroh mein aapki garimamayi upasthiti prarthaniya hai. [Name] sang [Name]. Dinank: [Date], Samay: [Time], Sthaan: [Venue]."</t>
  </si>
  <si>
    <t xml:space="preserve">Posts/187_2027-01-08_Carousel_C15_Roka-and-ring-ceremony-wording/slide_03.jpg</t>
  </si>
  <si>
    <t xml:space="preserve">Fun &amp; modern</t>
  </si>
  <si>
    <t xml:space="preserve">For the friends' group</t>
  </si>
  <si>
    <t xml:space="preserve">"She said yes, the families said haan, and now we need you there! Ring ceremony for [Name] &amp; [Name], [Date]. Come hungry, come dancing."</t>
  </si>
  <si>
    <t xml:space="preserve">UK-63</t>
  </si>
  <si>
    <t xml:space="preserve">Posts/187_2027-01-08_Carousel_C15_Roka-and-ring-ceremony-wording/slide_04.jpg</t>
  </si>
  <si>
    <t xml:space="preserve">Who to invite, and when</t>
  </si>
  <si>
    <t xml:space="preserve">• Roka: close family, often at short notice
• Ring ceremony: wider circle, invite 3–4 weeks ahead
• Mention dress colours if families are coordinating
• Add the venue map pin</t>
  </si>
  <si>
    <t xml:space="preserve">Posts/187_2027-01-08_Carousel_C15_Roka-and-ring-ceremony-wording/slide_05.jpg</t>
  </si>
  <si>
    <t xml:space="preserve">Roka and ring ceremony, one link</t>
  </si>
  <si>
    <t xml:space="preserve">Add each as its own function so guests see only theirs. Relatives far away can send shagun via Digital Lifafa.</t>
  </si>
  <si>
    <t xml:space="preserve">Posts/187_2027-01-08_Carousel_C15_Roka-and-ring-ceremony-wording/slide_06.jpg</t>
  </si>
  <si>
    <t xml:space="preserve">Shaadi on WhatsApp</t>
  </si>
  <si>
    <t xml:space="preserve">So they don't get lost between good-morning forwards.</t>
  </si>
  <si>
    <t xml:space="preserve">IN-6</t>
  </si>
  <si>
    <t xml:space="preserve">Posts/189_2027-01-09_Carousel_C28_WhatsApp-wedding-invites-done-right/slide_01.jpg</t>
  </si>
  <si>
    <t xml:space="preserve">Make it look good on a phone</t>
  </si>
  <si>
    <t xml:space="preserve">• Portrait image so it fills the screen
• Text large enough to read without zooming
• Video invite: short, with on-screen text
• PDF? Add a cover image so it previews</t>
  </si>
  <si>
    <t xml:space="preserve">Posts/189_2027-01-09_Carousel_C28_WhatsApp-wedding-invites-done-right/slide_02.jpg</t>
  </si>
  <si>
    <t xml:space="preserve">English message</t>
  </si>
  <si>
    <t xml:space="preserve">What to type above the card</t>
  </si>
  <si>
    <t xml:space="preserve">"Namaste! With the blessings of our families, we invite you to celebrate [Bride] &amp; [Groom]'s wedding. All function details and RSVP here: [link]"</t>
  </si>
  <si>
    <t xml:space="preserve">Posts/189_2027-01-09_Carousel_C28_WhatsApp-wedding-invites-done-right/slide_03.jpg</t>
  </si>
  <si>
    <t xml:space="preserve">Hindi message</t>
  </si>
  <si>
    <t xml:space="preserve">Badon ke liye, pyaar se</t>
  </si>
  <si>
    <t xml:space="preserve">"Aadarniya [Name] ji, hamare parivaar mein shubh vivah hai. Aap saparivaar padhaarkar var-vadhu ko aashirvaad dein. Vivaran: [link]"</t>
  </si>
  <si>
    <t xml:space="preserve">IN-37</t>
  </si>
  <si>
    <t xml:space="preserve">Posts/189_2027-01-09_Carousel_C28_WhatsApp-wedding-invites-done-right/slide_04.jpg</t>
  </si>
  <si>
    <t xml:space="preserve">Send it like family would</t>
  </si>
  <si>
    <t xml:space="preserve">• Send personally, not only in big groups
• Call elders first, then send the card
• Never post where not everyone is invited
• One reminder 3–4 days before is plenty</t>
  </si>
  <si>
    <t xml:space="preserve">Posts/189_2027-01-09_Carousel_C28_WhatsApp-wedding-invites-done-right/slide_05.jpg</t>
  </si>
  <si>
    <t xml:space="preserve">Every function, every reply, one link</t>
  </si>
  <si>
    <t xml:space="preserve">Upload your card and share one Lumhe link. Guests see only their functions, RSVP without an app, and can send shagun via Digital Lifafa.</t>
  </si>
  <si>
    <t xml:space="preserve">Posts/189_2027-01-09_Carousel_C28_WhatsApp-wedding-invites-done-right/slide_06.jpg</t>
  </si>
  <si>
    <t xml:space="preserve">Video invites</t>
  </si>
  <si>
    <t xml:space="preserve">A step-by-step guide to a video invite people watch fully.</t>
  </si>
  <si>
    <t xml:space="preserve">IN-7</t>
  </si>
  <si>
    <t xml:space="preserve">Posts/193_2027-01-11_Carousel_C29_How-to-make-a-wedding-invite-video/slide_01.jpg</t>
  </si>
  <si>
    <t xml:space="preserve">Step 1: Script</t>
  </si>
  <si>
    <t xml:space="preserve">Write the cards before you shoot</t>
  </si>
  <si>
    <t xml:space="preserve">• Opening blessing or couple's names
• Function list with dates
• Venue and city
• Closing line: "Aapki upasthiti hamare liye aashirvaad hogi."</t>
  </si>
  <si>
    <t xml:space="preserve">Posts/193_2027-01-11_Carousel_C29_How-to-make-a-wedding-invite-video/slide_02.jpg</t>
  </si>
  <si>
    <t xml:space="preserve">Step 2: Shots</t>
  </si>
  <si>
    <t xml:space="preserve">Five or six clips are plenty</t>
  </si>
  <si>
    <t xml:space="preserve">Pre-wedding moments, a slow walk, a laugh, one family shot. Film vertical (9:16) so it fills the phone screen on WhatsApp.</t>
  </si>
  <si>
    <t xml:space="preserve">Posts/193_2027-01-11_Carousel_C29_How-to-make-a-wedding-invite-video/slide_03.jpg</t>
  </si>
  <si>
    <t xml:space="preserve">Step 3: Edit</t>
  </si>
  <si>
    <t xml:space="preserve">Keep it under a minute</t>
  </si>
  <si>
    <t xml:space="preserve">• Hold each text card 3–4 seconds
• Dates in numerals, large font
• Instrumental music under the names
• Use licensed or royalty-free tracks only</t>
  </si>
  <si>
    <t xml:space="preserve">Posts/193_2027-01-11_Carousel_C29_How-to-make-a-wedding-invite-video/slide_04.jpg</t>
  </si>
  <si>
    <t xml:space="preserve">Step 4: Share</t>
  </si>
  <si>
    <t xml:space="preserve">Export once, send everywhere</t>
  </si>
  <si>
    <t xml:space="preserve">Export an HD MP4, preview it on a phone, then make a still poster version for elders who prefer an image they can zoom into.</t>
  </si>
  <si>
    <t xml:space="preserve">IN-33</t>
  </si>
  <si>
    <t xml:space="preserve">Posts/193_2027-01-11_Carousel_C29_How-to-make-a-wedding-invite-video/slide_05.jpg</t>
  </si>
  <si>
    <t xml:space="preserve">Upload the video, collect RSVPs</t>
  </si>
  <si>
    <t xml:space="preserve">Add your video invite to Lumhe and share one link. Each guest sees only their functions and RSVPs to each one.</t>
  </si>
  <si>
    <t xml:space="preserve">Posts/193_2027-01-11_Carousel_C29_How-to-make-a-wedding-invite-video/slide_06.jpg</t>
  </si>
  <si>
    <t xml:space="preserve">Shaadi wishes</t>
  </si>
  <si>
    <t xml:space="preserve">Copy-ready wishes for friends, siblings and elders.</t>
  </si>
  <si>
    <t xml:space="preserve">IN-42</t>
  </si>
  <si>
    <t xml:space="preserve">Posts/195_2027-01-12_Carousel_C30_Wedding-day-wishes-for-everyone/slide_01.jpg</t>
  </si>
  <si>
    <t xml:space="preserve">Funny, but make it heartfelt</t>
  </si>
  <si>
    <t xml:space="preserve">• "From hostel Maggi to saat phere, so proud of you!"
• "Finally someone else gets your bad jokes forever. Happy wedding day, you two!"</t>
  </si>
  <si>
    <t xml:space="preserve">Posts/195_2027-01-12_Carousel_C30_Wedding-day-wishes-for-everyone/slide_02.jpg</t>
  </si>
  <si>
    <t xml:space="preserve">In Hindi</t>
  </si>
  <si>
    <t xml:space="preserve">Blessings that sound like family</t>
  </si>
  <si>
    <t xml:space="preserve">• "Aap dono ko vivah ki hardik shubhkamnayein."
• "Aapki jodi sada salamat rahe, har din khushiyon se bhara ho."</t>
  </si>
  <si>
    <t xml:space="preserve">Posts/195_2027-01-12_Carousel_C30_Wedding-day-wishes-for-everyone/slide_03.jpg</t>
  </si>
  <si>
    <t xml:space="preserve">Siblings &amp; cousins</t>
  </si>
  <si>
    <t xml:space="preserve">For the ones you grew up with</t>
  </si>
  <si>
    <t xml:space="preserve">• "Didi, you held my hand through everything. Today I'm holding your dupatta."
• "Bhai, the room is yours now. Shaadi mubarak!"</t>
  </si>
  <si>
    <t xml:space="preserve">IN-46</t>
  </si>
  <si>
    <t xml:space="preserve">Posts/195_2027-01-12_Carousel_C30_Wedding-day-wishes-for-everyone/slide_04.jpg</t>
  </si>
  <si>
    <t xml:space="preserve">Timing etiquette</t>
  </si>
  <si>
    <t xml:space="preserve">When and how to send</t>
  </si>
  <si>
    <t xml:space="preserve">• Morning of the wedding, not during the pheras
• Voice note or short video if you can't attend
• Elders: keep it formal and warm
• Sign your name</t>
  </si>
  <si>
    <t xml:space="preserve">Posts/195_2027-01-12_Carousel_C30_Wedding-day-wishes-for-everyone/slide_05.jpg</t>
  </si>
  <si>
    <t xml:space="preserve">Can't attend?</t>
  </si>
  <si>
    <t xml:space="preserve">Send shagun along with your wishes</t>
  </si>
  <si>
    <t xml:space="preserve">If the couple's Lumhe invite has Digital Lifafa, send shagun by UPI straight to them, and add photos to their Moments album.</t>
  </si>
  <si>
    <t xml:space="preserve">Posts/195_2027-01-12_Carousel_C30_Wedding-day-wishes-for-everyone/slide_06.jpg</t>
  </si>
  <si>
    <t xml:space="preserve">Scene</t>
  </si>
  <si>
    <t xml:space="preserve">On-screen text</t>
  </si>
  <si>
    <t xml:space="preserve">Sub text</t>
  </si>
  <si>
    <t xml:space="preserve">And no good hour for a single phone call.</t>
  </si>
  <si>
    <t xml:space="preserve">EV-E21_A</t>
  </si>
  <si>
    <t xml:space="preserve">Three aunts. Three different guest lists.</t>
  </si>
  <si>
    <t xml:space="preserve">Each one sure she's the main coordinator.</t>
  </si>
  <si>
    <t xml:space="preserve">EV-E21_B</t>
  </si>
  <si>
    <t xml:space="preserve">The spreadsheet hadn't moved in months</t>
  </si>
  <si>
    <t xml:space="preserve">Updated whenever someone remembered. So, never.</t>
  </si>
  <si>
    <t xml:space="preserve">One link, shared from any time zone</t>
  </si>
  <si>
    <t xml:space="preserve">Card, functions and venue details, sent once on WhatsApp.</t>
  </si>
  <si>
    <t xml:space="preserve">RSVPs land while you sleep</t>
  </si>
  <si>
    <t xml:space="preserve">Wake up to live headcounts for Haldi, Sangeet and Reception.</t>
  </si>
  <si>
    <t xml:space="preserve">Plan from anywhere. Celebrate together.</t>
  </si>
  <si>
    <t xml:space="preserve">Create your event free at lumhe.com</t>
  </si>
  <si>
    <t xml:space="preserve">— (end card)</t>
  </si>
  <si>
    <t xml:space="preserve">Not the forward. The actual invite.</t>
  </si>
  <si>
    <t xml:space="preserve">Thali ready. Diya ready.</t>
  </si>
  <si>
    <t xml:space="preserve">Guest list? Still split across three chats.</t>
  </si>
  <si>
    <t xml:space="preserve">Send one link tonight</t>
  </si>
  <si>
    <t xml:space="preserve">Every Garba night gets its own RSVP.</t>
  </si>
  <si>
    <t xml:space="preserve">Know who's coming each night</t>
  </si>
  <si>
    <t xml:space="preserve">Live headcount, so snacks last past 9.</t>
  </si>
  <si>
    <t xml:space="preserve">Every twirl in one album</t>
  </si>
  <si>
    <t xml:space="preserve">Guests upload to Moments in full quality.</t>
  </si>
  <si>
    <t xml:space="preserve">Nine nights. One link.</t>
  </si>
  <si>
    <t xml:space="preserve">Create your Navratri invite free at lumhe.com</t>
  </si>
  <si>
    <t xml:space="preserve">Not at the front door.</t>
  </si>
  <si>
    <t xml:space="preserve">EV-E34_A</t>
  </si>
  <si>
    <t xml:space="preserve">Tea party? Pinkies up.</t>
  </si>
  <si>
    <t xml:space="preserve">"A tea-riffic afternoon awaits. Hats encouraged."</t>
  </si>
  <si>
    <t xml:space="preserve">EV-E34_B</t>
  </si>
  <si>
    <t xml:space="preserve">Dinosaur bash? Let it roar.</t>
  </si>
  <si>
    <t xml:space="preserve">"Stomp on over! Max is turning five."</t>
  </si>
  <si>
    <t xml:space="preserve">Tell guests what to wear</t>
  </si>
  <si>
    <t xml:space="preserve">Costumes, sun hats or swimsuits: one line ends the guessing.</t>
  </si>
  <si>
    <t xml:space="preserve">Count cupcakes before Saturday</t>
  </si>
  <si>
    <t xml:space="preserve">Live RSVPs show who's coming, kids and adults.</t>
  </si>
  <si>
    <t xml:space="preserve">Theme it. Link it. Send it.</t>
  </si>
  <si>
    <t xml:space="preserve">Create your party invite free at lumhe.com</t>
  </si>
  <si>
    <t xml:space="preserve">The invite decides how smoothly Saturday goes.</t>
  </si>
  <si>
    <t xml:space="preserve">Theme the wording, too</t>
  </si>
  <si>
    <t xml:space="preserve">Roar-some for dinos, sparkly for princesses, capes for superheroes.</t>
  </si>
  <si>
    <t xml:space="preserve">Say: stay or drop-off?</t>
  </si>
  <si>
    <t xml:space="preserve">Under-fives: parents stay. Older kids: give a pick-up time.</t>
  </si>
  <si>
    <t xml:space="preserve">Ask about allergies</t>
  </si>
  <si>
    <t xml:space="preserve">One line on the invite saves a panic at cake time.</t>
  </si>
  <si>
    <t xml:space="preserve">Know who's coming by Wednesday</t>
  </si>
  <si>
    <t xml:space="preserve">Set an RSVP date a few days before the party.</t>
  </si>
  <si>
    <t xml:space="preserve">One link for the class chat</t>
  </si>
  <si>
    <t xml:space="preserve">Free on Lumhe. Parents reply without an app.</t>
  </si>
  <si>
    <t xml:space="preserve">Sargi sorted. Thali sorted. Guests?</t>
  </si>
  <si>
    <t xml:space="preserve">Karva, diya, channi: checked</t>
  </si>
  <si>
    <t xml:space="preserve">One thing is still missing.</t>
  </si>
  <si>
    <t xml:space="preserve">Your friends still need the plan</t>
  </si>
  <si>
    <t xml:space="preserve">Katha where? Whose terrace? Dinner after?</t>
  </si>
  <si>
    <t xml:space="preserve">Mehendi, katha and moonrise, each with RSVP.</t>
  </si>
  <si>
    <t xml:space="preserve">Every moon photo, one album</t>
  </si>
  <si>
    <t xml:space="preserve">Guests upload to Moments. Full quality, no expiry.</t>
  </si>
  <si>
    <t xml:space="preserve">One link till the moon</t>
  </si>
  <si>
    <t xml:space="preserve">Make your invite free at lumhe.com</t>
  </si>
  <si>
    <t xml:space="preserve">Don't panic. Ghosts work fast.</t>
  </si>
  <si>
    <t xml:space="preserve">Drop in your spooky design</t>
  </si>
  <si>
    <t xml:space="preserve">Canva, PDF, image or video, any invite works</t>
  </si>
  <si>
    <t xml:space="preserve">Add the scary-important details</t>
  </si>
  <si>
    <t xml:space="preserve">Costume rules, 7 PM start, candy-bucket policy</t>
  </si>
  <si>
    <t xml:space="preserve">Text one link to everyone</t>
  </si>
  <si>
    <t xml:space="preserve">Guests RSVP in a tap. No app, no login.</t>
  </si>
  <si>
    <t xml:space="preserve">Watch the headcount climb live</t>
  </si>
  <si>
    <t xml:space="preserve">Buy candy for 23, not 'a lot'</t>
  </si>
  <si>
    <t xml:space="preserve">lumhe.com, link in bio</t>
  </si>
  <si>
    <t xml:space="preserve">Sound familiar? Here's the fix.</t>
  </si>
  <si>
    <t xml:space="preserve">EV-E56_A</t>
  </si>
  <si>
    <t xml:space="preserve">Step 1: upload your design</t>
  </si>
  <si>
    <t xml:space="preserve">Canva, PDF, photo or video. Or design one.</t>
  </si>
  <si>
    <t xml:space="preserve">EV-E56_B</t>
  </si>
  <si>
    <t xml:space="preserve">Step 2: add your events</t>
  </si>
  <si>
    <t xml:space="preserve">Ceremony, dinner, after-party. Guests see only theirs.</t>
  </si>
  <si>
    <t xml:space="preserve">Step 3: share one link</t>
  </si>
  <si>
    <t xml:space="preserve">WhatsApp, text or email. No app to download.</t>
  </si>
  <si>
    <t xml:space="preserve">Step 4: watch the headcount</t>
  </si>
  <si>
    <t xml:space="preserve">Live RSVPs for every event, in one place.</t>
  </si>
  <si>
    <t xml:space="preserve">Free on Lumhe</t>
  </si>
  <si>
    <t xml:space="preserve">Send your first invite at lumhe.com</t>
  </si>
  <si>
    <t xml:space="preserve">The only Diwali question that matters</t>
  </si>
  <si>
    <t xml:space="preserve">Mausi, bua, cousins: everyone's invited</t>
  </si>
  <si>
    <t xml:space="preserve">One invite link in the family WhatsApp group</t>
  </si>
  <si>
    <t xml:space="preserve">Each family taps yes</t>
  </si>
  <si>
    <t xml:space="preserve">No app, no login. Even Nanaji manages.</t>
  </si>
  <si>
    <t xml:space="preserve">Live headcount for the mithai order</t>
  </si>
  <si>
    <t xml:space="preserve">Kaju katli for 34, not 'andaaz se'</t>
  </si>
  <si>
    <t xml:space="preserve">Every phone's photos, one album</t>
  </si>
  <si>
    <t xml:space="preserve">Moments keeps the rangoli and diya pics forever</t>
  </si>
  <si>
    <t xml:space="preserve">Is baar Diwali, ek link</t>
  </si>
  <si>
    <t xml:space="preserve">Create your invite free on lumhe.com</t>
  </si>
  <si>
    <t xml:space="preserve">Papa's business friends included. Obviously.</t>
  </si>
  <si>
    <t xml:space="preserve">EV-E22_A</t>
  </si>
  <si>
    <t xml:space="preserve">Five functions. Five different lists.</t>
  </si>
  <si>
    <t xml:space="preserve">Haldi, Mehendi, Sangeet, pheras, Reception.</t>
  </si>
  <si>
    <t xml:space="preserve">EV-E22_B</t>
  </si>
  <si>
    <t xml:space="preserve">The spreadsheet survives two weeks</t>
  </si>
  <si>
    <t xml:space="preserve">Then Papa starts his own version.</t>
  </si>
  <si>
    <t xml:space="preserve">So switch to one link</t>
  </si>
  <si>
    <t xml:space="preserve">Each guest sees only the functions they're invited to.</t>
  </si>
  <si>
    <t xml:space="preserve">Headcounts update themselves</t>
  </si>
  <si>
    <t xml:space="preserve">Confirmed, pending, declined: per function, in real time.</t>
  </si>
  <si>
    <t xml:space="preserve">Less chasing. More baraat.</t>
  </si>
  <si>
    <t xml:space="preserve">Plan your guest list free at lumhe.com</t>
  </si>
  <si>
    <t xml:space="preserve">Check it tonight, not during the morning rush</t>
  </si>
  <si>
    <t xml:space="preserve">Roli, chawal, diya, mithai</t>
  </si>
  <si>
    <t xml:space="preserve">And his favourite sweet, not just the box one</t>
  </si>
  <si>
    <t xml:space="preserve">Bhai in another city?</t>
  </si>
  <si>
    <t xml:space="preserve">Agree on the video-call time tonight</t>
  </si>
  <si>
    <t xml:space="preserve">Shagun still arrives on time</t>
  </si>
  <si>
    <t xml:space="preserve">Digital Lifafa: UPI straight to her, Lumhe never touches it</t>
  </si>
  <si>
    <t xml:space="preserve">Every tilak photo, one album</t>
  </si>
  <si>
    <t xml:space="preserve">Moments keeps them in full quality</t>
  </si>
  <si>
    <t xml:space="preserve">Tilak tomorrow. Invite tonight.</t>
  </si>
  <si>
    <t xml:space="preserve">Create yours free on lumhe.com</t>
  </si>
  <si>
    <t xml:space="preserve">Tulsi Vivah first, then the wedding calendar fills up</t>
  </si>
  <si>
    <t xml:space="preserve">Shaadi dates finally fixed?</t>
  </si>
  <si>
    <t xml:space="preserve">Every function, Haldi to Reception, on one link</t>
  </si>
  <si>
    <t xml:space="preserve">Neighbours invited for the aarti?</t>
  </si>
  <si>
    <t xml:space="preserve">One link beats knocking on every door</t>
  </si>
  <si>
    <t xml:space="preserve">Guests see only their functions</t>
  </si>
  <si>
    <t xml:space="preserve">Live headcount for each one</t>
  </si>
  <si>
    <t xml:space="preserve">Shagun by Digital Lifafa</t>
  </si>
  <si>
    <t xml:space="preserve">UPI to your account. Lumhe never touches it.</t>
  </si>
  <si>
    <t xml:space="preserve">Shubh vivah season begins</t>
  </si>
  <si>
    <t xml:space="preserve">And you've seen exactly one of them.</t>
  </si>
  <si>
    <t xml:space="preserve">EV-E41_A</t>
  </si>
  <si>
    <t xml:space="preserve">Your aunt has the tearful toast</t>
  </si>
  <si>
    <t xml:space="preserve">Still on her phone. Three months later.</t>
  </si>
  <si>
    <t xml:space="preserve">EV-E41_B</t>
  </si>
  <si>
    <t xml:space="preserve">Your roommate caught the sparkler exit</t>
  </si>
  <si>
    <t xml:space="preserve">Posted to Stories. Gone in 24 hours.</t>
  </si>
  <si>
    <t xml:space="preserve">One link. One shared album.</t>
  </si>
  <si>
    <t xml:space="preserve">Guests upload full-quality photos from your invite link.</t>
  </si>
  <si>
    <t xml:space="preserve">Nothing expires. Nothing gets squashed.</t>
  </si>
  <si>
    <t xml:space="preserve">No app, no login. Just tap and upload.</t>
  </si>
  <si>
    <t xml:space="preserve">Moments, free on Lumhe</t>
  </si>
  <si>
    <t xml:space="preserve">Start your album at lumhe.com</t>
  </si>
  <si>
    <t xml:space="preserve">Every potluck without a plan</t>
  </si>
  <si>
    <t xml:space="preserve">Put dish categories on the invite</t>
  </si>
  <si>
    <t xml:space="preserve">Mains, sides, desserts, drinks</t>
  </si>
  <si>
    <t xml:space="preserve">Split by last name</t>
  </si>
  <si>
    <t xml:space="preserve">A to M bring sides, N to Z bring dessert</t>
  </si>
  <si>
    <t xml:space="preserve">RSVPs tell you the headcount</t>
  </si>
  <si>
    <t xml:space="preserve">Enough chairs, right-sized turkey</t>
  </si>
  <si>
    <t xml:space="preserve">Photos land in one album</t>
  </si>
  <si>
    <t xml:space="preserve">Not buried in the group chat</t>
  </si>
  <si>
    <t xml:space="preserve">Host Friendsgiving the easy way</t>
  </si>
  <si>
    <t xml:space="preserve">Free invite and RSVP on Lumhe</t>
  </si>
  <si>
    <t xml:space="preserve">Every party parent, the night before</t>
  </si>
  <si>
    <t xml:space="preserve">UK-13</t>
  </si>
  <si>
    <t xml:space="preserve">One link in the class WhatsApp</t>
  </si>
  <si>
    <t xml:space="preserve">Dinosaur theme, date, drop-off and pick-up times</t>
  </si>
  <si>
    <t xml:space="preserve">UK-4</t>
  </si>
  <si>
    <t xml:space="preserve">Parents tap yes, no or maybe</t>
  </si>
  <si>
    <t xml:space="preserve">No app, no login, no lost paper slips</t>
  </si>
  <si>
    <t xml:space="preserve">Live headcount, updated as replies land</t>
  </si>
  <si>
    <t xml:space="preserve">Order cake for fourteen, not 'about twenty'</t>
  </si>
  <si>
    <t xml:space="preserve">Every parent's photos, one album</t>
  </si>
  <si>
    <t xml:space="preserve">Moments keeps the candle-blowing shots forever</t>
  </si>
  <si>
    <t xml:space="preserve">Party sorted. One link.</t>
  </si>
  <si>
    <t xml:space="preserve">Create your invite free at lumhe.com</t>
  </si>
  <si>
    <t xml:space="preserve">The old way had a lot of steps</t>
  </si>
  <si>
    <t xml:space="preserve">US-4</t>
  </si>
  <si>
    <t xml:space="preserve">Or upload the design you love</t>
  </si>
  <si>
    <t xml:space="preserve">Canva, PDF, image or video invite</t>
  </si>
  <si>
    <t xml:space="preserve">UK-11</t>
  </si>
  <si>
    <t xml:space="preserve">Add every function, once</t>
  </si>
  <si>
    <t xml:space="preserve">Guests see only the events they're invited to</t>
  </si>
  <si>
    <t xml:space="preserve">Share one link anywhere</t>
  </si>
  <si>
    <t xml:space="preserve">WhatsApp, SMS or email. No app, no login.</t>
  </si>
  <si>
    <t xml:space="preserve">RSVPs counted live, per event</t>
  </si>
  <si>
    <t xml:space="preserve">No spreadsheet, no chasing replies</t>
  </si>
  <si>
    <t xml:space="preserve">Make the Lumhe switch</t>
  </si>
  <si>
    <t xml:space="preserve">Hanukkah starts Friday evening.</t>
  </si>
  <si>
    <t xml:space="preserve">Latkes for how many?</t>
  </si>
  <si>
    <t xml:space="preserve">Ask for headcounts, not maybes.</t>
  </si>
  <si>
    <t xml:space="preserve">One link to the family chat</t>
  </si>
  <si>
    <t xml:space="preserve">No app, no login for guests.</t>
  </si>
  <si>
    <t xml:space="preserve">Fry ahead, crisp later</t>
  </si>
  <si>
    <t xml:space="preserve">Dreidels and gelt on the table.</t>
  </si>
  <si>
    <t xml:space="preserve">Eight nights of glow, saved</t>
  </si>
  <si>
    <t xml:space="preserve">Everyone adds photos to one Moments album.</t>
  </si>
  <si>
    <t xml:space="preserve">Light it up together</t>
  </si>
  <si>
    <t xml:space="preserve">Semester done. Cap thrown. Cake pending.</t>
  </si>
  <si>
    <t xml:space="preserve">RU-8</t>
  </si>
  <si>
    <t xml:space="preserve">One link, sent by text</t>
  </si>
  <si>
    <t xml:space="preserve">Guests open it. No app, no login.</t>
  </si>
  <si>
    <t xml:space="preserve">US-66</t>
  </si>
  <si>
    <t xml:space="preserve">RSVPs roll in live</t>
  </si>
  <si>
    <t xml:space="preserve">Now you know how many cupcakes to order.</t>
  </si>
  <si>
    <t xml:space="preserve">Everyone adds their photos</t>
  </si>
  <si>
    <t xml:space="preserve">One Moments album, in full quality.</t>
  </si>
  <si>
    <t xml:space="preserve">Every angle of the walk</t>
  </si>
  <si>
    <t xml:space="preserve">No more "can you send me that one?"</t>
  </si>
  <si>
    <t xml:space="preserve">Celebrate the grad. Keep every photo.</t>
  </si>
  <si>
    <t xml:space="preserve">Free invite, RSVP and album at lumhe.com</t>
  </si>
  <si>
    <t xml:space="preserve">And every guest asking, "Kab, kahan, kaunsa function?"</t>
  </si>
  <si>
    <t xml:space="preserve">IN-18</t>
  </si>
  <si>
    <t xml:space="preserve">Haldi. Mehendi. Sangeet. Phere.</t>
  </si>
  <si>
    <t xml:space="preserve">Each function gets its own RSVP.</t>
  </si>
  <si>
    <t xml:space="preserve">IN-32</t>
  </si>
  <si>
    <t xml:space="preserve">Guests see only their invites</t>
  </si>
  <si>
    <t xml:space="preserve">Office friends get Reception. Family gets everything.</t>
  </si>
  <si>
    <t xml:space="preserve">Live headcount per function</t>
  </si>
  <si>
    <t xml:space="preserve">Caterer wants Sangeet numbers? Already there.</t>
  </si>
  <si>
    <t xml:space="preserve">Every petal shower, saved</t>
  </si>
  <si>
    <t xml:space="preserve">One link for the whole shaadi</t>
  </si>
  <si>
    <t xml:space="preserve">Create yours free at lumhe.com</t>
  </si>
  <si>
    <t xml:space="preserve">So why have you seen none?</t>
  </si>
  <si>
    <t xml:space="preserve">US-13</t>
  </si>
  <si>
    <t xml:space="preserve">Same link as your invite</t>
  </si>
  <si>
    <t xml:space="preserve">Add it to the welcome sign and table cards</t>
  </si>
  <si>
    <t xml:space="preserve">US-83</t>
  </si>
  <si>
    <t xml:space="preserve">Guests upload from their phones</t>
  </si>
  <si>
    <t xml:space="preserve">No app, no login, no compression</t>
  </si>
  <si>
    <t xml:space="preserve">The candids you'd have missed</t>
  </si>
  <si>
    <t xml:space="preserve">The speech, the sparklers, Grandpa dancing</t>
  </si>
  <si>
    <t xml:space="preserve">One album that stays</t>
  </si>
  <si>
    <t xml:space="preserve">Not a Story that disappears tomorrow</t>
  </si>
  <si>
    <t xml:space="preserve">Start your Moments album</t>
  </si>
  <si>
    <t xml:space="preserve">Free on Lumhe, link in bio</t>
  </si>
  <si>
    <t xml:space="preserve">Your love story, one link</t>
  </si>
  <si>
    <t xml:space="preserve">IN-8</t>
  </si>
  <si>
    <t xml:space="preserve">First, the save-the-date</t>
  </si>
  <si>
    <t xml:space="preserve">Your shoot photo, the dates, the city. Nothing more.</t>
  </si>
  <si>
    <t xml:space="preserve">UK-49</t>
  </si>
  <si>
    <t xml:space="preserve">Then, the full invite</t>
  </si>
  <si>
    <t xml:space="preserve">Each guest sees only their functions</t>
  </si>
  <si>
    <t xml:space="preserve">RSVPs, function by function</t>
  </si>
  <si>
    <t xml:space="preserve">A live headcount for every event</t>
  </si>
  <si>
    <t xml:space="preserve">On the day, everyone uploads</t>
  </si>
  <si>
    <t xml:space="preserve">Every cousin's candids in one Moments album</t>
  </si>
  <si>
    <t xml:space="preserve">Save the date to just married</t>
  </si>
  <si>
    <t xml:space="preserve">Create your link free on Lumhe</t>
  </si>
  <si>
    <t xml:space="preserve">Invite the whole family in one text</t>
  </si>
  <si>
    <t xml:space="preserve">US-43</t>
  </si>
  <si>
    <t xml:space="preserve">Who's bringing pie? Who's flying in?</t>
  </si>
  <si>
    <t xml:space="preserve">See RSVPs and the headcount live</t>
  </si>
  <si>
    <t xml:space="preserve">US-69</t>
  </si>
  <si>
    <t xml:space="preserve">Grandma RSVPed. No app needed.</t>
  </si>
  <si>
    <t xml:space="preserve">No download, no login, just the link</t>
  </si>
  <si>
    <t xml:space="preserve">Fire's on. Cocoa's out.</t>
  </si>
  <si>
    <t xml:space="preserve">Everyone has the time and address</t>
  </si>
  <si>
    <t xml:space="preserve">Every phone. One family album.</t>
  </si>
  <si>
    <t xml:space="preserve">Moments keeps every photo in full quality</t>
  </si>
  <si>
    <t xml:space="preserve">Host the holidays with Lumhe</t>
  </si>
  <si>
    <t xml:space="preserve">Free at lumhe.com</t>
  </si>
  <si>
    <t xml:space="preserve">40 or 50, they never saw it coming</t>
  </si>
  <si>
    <t xml:space="preserve">UK-2</t>
  </si>
  <si>
    <t xml:space="preserve">Invite sent. Birthday star: not included.</t>
  </si>
  <si>
    <t xml:space="preserve">One private link, shared only with the crew</t>
  </si>
  <si>
    <t xml:space="preserve">US-22</t>
  </si>
  <si>
    <t xml:space="preserve">No reply-all. No spoilers.</t>
  </si>
  <si>
    <t xml:space="preserve">RSVPs come to you, not the group chat</t>
  </si>
  <si>
    <t xml:space="preserve">Arrive by 7:15. Lights off 7:30.</t>
  </si>
  <si>
    <t xml:space="preserve">Change the timing once; every guest sees it</t>
  </si>
  <si>
    <t xml:space="preserve">SURPRISE! Photos already in one album</t>
  </si>
  <si>
    <t xml:space="preserve">Moments collects every guest's shots</t>
  </si>
  <si>
    <t xml:space="preserve">Plan the secret one on Lumhe</t>
  </si>
  <si>
    <t xml:space="preserve">Function-wise invites for the girls' gang</t>
  </si>
  <si>
    <t xml:space="preserve">IN-23</t>
  </si>
  <si>
    <t xml:space="preserve">Only the girls get this invite</t>
  </si>
  <si>
    <t xml:space="preserve">Haldi and mehendi stay hidden from everyone else</t>
  </si>
  <si>
    <t xml:space="preserve">UK-52</t>
  </si>
  <si>
    <t xml:space="preserve">Nani, bua, every cousin: confirmed</t>
  </si>
  <si>
    <t xml:space="preserve">A live headcount for haldi, all on its own</t>
  </si>
  <si>
    <t xml:space="preserve">Mehendi artists: booked for exact hands</t>
  </si>
  <si>
    <t xml:space="preserve">Know how many guests before you book artists</t>
  </si>
  <si>
    <t xml:space="preserve">Every haldi selfie, one album</t>
  </si>
  <si>
    <t xml:space="preserve">Moments keeps them uncompressed and forever</t>
  </si>
  <si>
    <t xml:space="preserve">Create your function-wise invite</t>
  </si>
  <si>
    <t xml:space="preserve">New Year's Eve, hosting edition</t>
  </si>
  <si>
    <t xml:space="preserve">WhatsApp, text or email. Nobody needs an app.</t>
  </si>
  <si>
    <t xml:space="preserve">Yes, no, maybe: live</t>
  </si>
  <si>
    <t xml:space="preserve">Now you know how many glasses to chill</t>
  </si>
  <si>
    <t xml:space="preserve">Headcount locked before the countdown</t>
  </si>
  <si>
    <t xml:space="preserve">Enough fizz for midnight, none wasted</t>
  </si>
  <si>
    <t xml:space="preserve">1 January: every photo, one album</t>
  </si>
  <si>
    <t xml:space="preserve">Guests add sparkler shots to Moments, uncompressed</t>
  </si>
  <si>
    <t xml:space="preserve">Send your NYE invite free</t>
  </si>
  <si>
    <t xml:space="preserve">lumhe.com</t>
  </si>
  <si>
    <t xml:space="preserve">Shower? Hen do? Mehendi night? Who's coming?</t>
  </si>
  <si>
    <t xml:space="preserve">UK-17</t>
  </si>
  <si>
    <t xml:space="preserve">Six maybes, two thumbs-ups</t>
  </si>
  <si>
    <t xml:space="preserve">And one voice note nobody has played</t>
  </si>
  <si>
    <t xml:space="preserve">US-23</t>
  </si>
  <si>
    <t xml:space="preserve">Make one invite link instead</t>
  </si>
  <si>
    <t xml:space="preserve">Upload the design, guests tap to RSVP</t>
  </si>
  <si>
    <t xml:space="preserve">Live headcount for every event</t>
  </si>
  <si>
    <t xml:space="preserve">Brunch crew and party crew, counted separately</t>
  </si>
  <si>
    <t xml:space="preserve">Every selfie, one album</t>
  </si>
  <si>
    <t xml:space="preserve">Moments keeps flower-crown photos in full quality</t>
  </si>
  <si>
    <t xml:space="preserve">Plan the squad's party free</t>
  </si>
  <si>
    <t xml:space="preserve">lumhe.com · no app for guests</t>
  </si>
  <si>
    <t xml:space="preserve">For every relative watching the shaadi on video call</t>
  </si>
  <si>
    <t xml:space="preserve">UK-18</t>
  </si>
  <si>
    <t xml:space="preserve">Pheras in Jaipur, Bua ji in Chennai</t>
  </si>
  <si>
    <t xml:space="preserve">Flights booked out, knees not up for it</t>
  </si>
  <si>
    <t xml:space="preserve">IN-25</t>
  </si>
  <si>
    <t xml:space="preserve">She opens the invite link</t>
  </si>
  <si>
    <t xml:space="preserve">Taps Digital Lifafa. No envelope, no courier.</t>
  </si>
  <si>
    <t xml:space="preserve">₹1,101 by UPI, with blessings</t>
  </si>
  <si>
    <t xml:space="preserve">The extra one rupee, as always</t>
  </si>
  <si>
    <t xml:space="preserve">Straight to the couple's UPI ID</t>
  </si>
  <si>
    <t xml:space="preserve">Lumhe never touches the money</t>
  </si>
  <si>
    <t xml:space="preserve">Free on lumhe.com</t>
  </si>
  <si>
    <t xml:space="preserve">Fire's stacked. Invites sent?</t>
  </si>
  <si>
    <t xml:space="preserve">"Kitne baje aana hai?"</t>
  </si>
  <si>
    <t xml:space="preserve">Asked 14 times in the family group.</t>
  </si>
  <si>
    <t xml:space="preserve">One link with time and pin</t>
  </si>
  <si>
    <t xml:space="preserve">No app, no login for anyone.</t>
  </si>
  <si>
    <t xml:space="preserve">Rewri packets for exactly how many?</t>
  </si>
  <si>
    <t xml:space="preserve">Live headcount, not guesswork.</t>
  </si>
  <si>
    <t xml:space="preserve">Shagun from far away</t>
  </si>
  <si>
    <t xml:space="preserve">Digital Lifafa, straight to your UPI.</t>
  </si>
  <si>
    <t xml:space="preserve">Lohri diyan lakh lakh vadhaiyan!</t>
  </si>
  <si>
    <t xml:space="preserve">Sankranti and Pongal are almost here.</t>
  </si>
  <si>
    <t xml:space="preserve">Pot ready to boil over</t>
  </si>
  <si>
    <t xml:space="preserve">Lunch at 12:30. Guests confirmed?</t>
  </si>
  <si>
    <t xml:space="preserve">One link for every guest</t>
  </si>
  <si>
    <t xml:space="preserve">Time, address and RSVP in one place.</t>
  </si>
  <si>
    <t xml:space="preserve">How many vaan to pack?</t>
  </si>
  <si>
    <t xml:space="preserve">Check the live headcount first.</t>
  </si>
  <si>
    <t xml:space="preserve">Every terrace photo, one album</t>
  </si>
  <si>
    <t xml:space="preserve">Moments keeps them in full quality.</t>
  </si>
  <si>
    <t xml:space="preserve">Celebrate the sweet season</t>
  </si>
  <si>
    <t xml:space="preserve">Image code</t>
  </si>
  <si>
    <t xml:space="preserve">Blog title</t>
  </si>
  <si>
    <t xml:space="preserve">Used in post</t>
  </si>
  <si>
    <t xml:space="preserve">Post date</t>
  </si>
  <si>
    <t xml:space="preserve">Note</t>
  </si>
  <si>
    <t xml:space="preserve">Used</t>
  </si>
  <si>
    <t xml:space="preserve">Happy 30Th Wedding Anniversary: Complete Guide</t>
  </si>
  <si>
    <t xml:space="preserve">Happy Wedding Anniversary To Us: Complete Guide</t>
  </si>
  <si>
    <t xml:space="preserve">Hindu Wedding Card Matter In English For Daughter: Complete Guide</t>
  </si>
  <si>
    <t xml:space="preserve">Wedding Anniversary Wishes: Heartfelt Messages</t>
  </si>
  <si>
    <t xml:space="preserve">Wedding Invitation In Whatsapp Style: Complete Guide</t>
  </si>
  <si>
    <t xml:space="preserve">How To Create A Wedding Invitation Video: Complete Guide</t>
  </si>
  <si>
    <t xml:space="preserve">Hashtag For Pre Wedding: Best Ideas for Social Media</t>
  </si>
  <si>
    <t xml:space="preserve">Wedding Instagram Captions: Best Ideas for Social Media</t>
  </si>
  <si>
    <t xml:space="preserve">Happy Wedding Anniversary Sister: Complete Guide</t>
  </si>
  <si>
    <t xml:space="preserve">Wedding Photography Captions: Best Ideas for Social Media</t>
  </si>
  <si>
    <t xml:space="preserve">Wedding Day Wishes Images: Heartfelt Messages &amp; Quotes</t>
  </si>
  <si>
    <t xml:space="preserve">Hindu Wedding Card Matter In Hindi: Complete Guide</t>
  </si>
  <si>
    <t xml:space="preserve">Caption For New Wedding Couple: Best Ideas for Social Media</t>
  </si>
  <si>
    <t xml:space="preserve">IN-28</t>
  </si>
  <si>
    <t xml:space="preserve">Wedding Cards Near Me: Complete Guide</t>
  </si>
  <si>
    <t xml:space="preserve">Skipped (duplicate)</t>
  </si>
  <si>
    <t xml:space="preserve">Identical artwork to IN-17, which is used in C11</t>
  </si>
  <si>
    <t xml:space="preserve">Happy Wedding Anniversary Both Of You: Complete Guide</t>
  </si>
  <si>
    <t xml:space="preserve">Happy Wedding Anniversary Png: Complete Guide</t>
  </si>
  <si>
    <t xml:space="preserve">Wish You Happy Wedding Anniversary: Complete Guide</t>
  </si>
  <si>
    <t xml:space="preserve">IN-36</t>
  </si>
  <si>
    <t xml:space="preserve">Happy Wedding Anniversary Background: Complete Guide</t>
  </si>
  <si>
    <t xml:space="preserve">Identical artwork to IN-24, which is used in C08</t>
  </si>
  <si>
    <t xml:space="preserve">Create Indian Wedding Invitation Card Online Free For Whatsapp: Complete Guide</t>
  </si>
  <si>
    <t xml:space="preserve">Wedding Anniversary Images Download: Complete Guide</t>
  </si>
  <si>
    <t xml:space="preserve">Happy Wedding Day Wishes: Heartfelt Messages &amp; Quotes</t>
  </si>
  <si>
    <t xml:space="preserve">Happy Wedding Anniversary To Both Of You: Complete Guide</t>
  </si>
  <si>
    <t xml:space="preserve">Friends Wedding Quotes: Complete Guide</t>
  </si>
  <si>
    <t xml:space="preserve">8 Elegant Engagement Invitation Templates — Free Downloads for Indian Ceremonies</t>
  </si>
  <si>
    <t xml:space="preserve">8 Kitty Party Invitation Templates That Will Impress Your Group — Free &amp; Ready</t>
  </si>
  <si>
    <t xml:space="preserve">RU-9</t>
  </si>
  <si>
    <t xml:space="preserve">15 Best Free Wedding Invitation Templates in 2026 — Download &amp; Customize</t>
  </si>
  <si>
    <t xml:space="preserve">Identical artwork to BR-15, which is used in S02</t>
  </si>
  <si>
    <t xml:space="preserve">8 Elegant Bridal Shower Invitation Templates — Free Downloads + Digital Sending</t>
  </si>
  <si>
    <t xml:space="preserve">Evening Wedding Invitations: Wording &amp; Etiquette (UK)</t>
  </si>
  <si>
    <t xml:space="preserve">Childrens Party Invitations: Complete Guide</t>
  </si>
  <si>
    <t xml:space="preserve">Best Wedding Websites: Complete Guide</t>
  </si>
  <si>
    <t xml:space="preserve">Digital Marriage Invitation: Complete Guide</t>
  </si>
  <si>
    <t xml:space="preserve">Personalised Party Invites: Complete Guide</t>
  </si>
  <si>
    <t xml:space="preserve">Print Invitations: Complete Guide</t>
  </si>
  <si>
    <t xml:space="preserve">Childrens Birthday Invites: Complete Guide</t>
  </si>
  <si>
    <t xml:space="preserve">One Year Birthday Invitation: Wording &amp; Creative Ideas</t>
  </si>
  <si>
    <t xml:space="preserve">Save the Date Cards: When to Send, Wording &amp; Ideas</t>
  </si>
  <si>
    <t xml:space="preserve">UK-39</t>
  </si>
  <si>
    <t xml:space="preserve">Printed Wedding Invitations: Complete Guide</t>
  </si>
  <si>
    <t xml:space="preserve">Identical artwork to UK-29, which is used in C26</t>
  </si>
  <si>
    <t xml:space="preserve">UK-41</t>
  </si>
  <si>
    <t xml:space="preserve">Baby Shower Invitations: Wording, Ideas &amp; Etiquette</t>
  </si>
  <si>
    <t xml:space="preserve">Identical artwork to UK-11, which is used in R06</t>
  </si>
  <si>
    <t xml:space="preserve">Party Invitations: Complete Guide</t>
  </si>
  <si>
    <t xml:space="preserve">UK-46</t>
  </si>
  <si>
    <t xml:space="preserve">Personalised Wedding Invitations: Complete Guide</t>
  </si>
  <si>
    <t xml:space="preserve">Identical artwork to IN-15, which is used in S03</t>
  </si>
  <si>
    <t xml:space="preserve">UK-47</t>
  </si>
  <si>
    <t xml:space="preserve">Party Template Invite: Complete Guide</t>
  </si>
  <si>
    <t xml:space="preserve">Identical artwork to IN-6, which is used in C28</t>
  </si>
  <si>
    <t xml:space="preserve">Cards And Invitations: Complete Guide</t>
  </si>
  <si>
    <t xml:space="preserve">UK-51</t>
  </si>
  <si>
    <t xml:space="preserve">Party Invite Template: Complete Guide</t>
  </si>
  <si>
    <t xml:space="preserve">Identical artwork to UK-21, which is used in C24</t>
  </si>
  <si>
    <t xml:space="preserve">Wedding Invitations UK: Best Options &amp; Ideas</t>
  </si>
  <si>
    <t xml:space="preserve">UK-56</t>
  </si>
  <si>
    <t xml:space="preserve">What Is A Rsvp On An Invitation: Complete Guide</t>
  </si>
  <si>
    <t xml:space="preserve">UK-57</t>
  </si>
  <si>
    <t xml:space="preserve">Wedding Invitation Templates: Complete Guide</t>
  </si>
  <si>
    <t xml:space="preserve">Identical artwork to IN-38, which is used in C09</t>
  </si>
  <si>
    <t xml:space="preserve">UK-58</t>
  </si>
  <si>
    <t xml:space="preserve">Online Wedding Invitation: Complete Guide</t>
  </si>
  <si>
    <t xml:space="preserve">Identical artwork to UK-48, which is used in S21</t>
  </si>
  <si>
    <t xml:space="preserve">UK-61</t>
  </si>
  <si>
    <t xml:space="preserve">Online Party Invitations: Complete Guide</t>
  </si>
  <si>
    <t xml:space="preserve">Invitation Card Design: Complete Guide</t>
  </si>
  <si>
    <t xml:space="preserve">Invitation Template: Complete Guide</t>
  </si>
  <si>
    <t xml:space="preserve">What Does RSVP Mean? Complete Guide to RSVP Etiquette</t>
  </si>
  <si>
    <t xml:space="preserve">Create A Wedding Website: Complete Guide</t>
  </si>
  <si>
    <t xml:space="preserve">What Should Be Included In A Wedding Invitation</t>
  </si>
  <si>
    <t xml:space="preserve">Stationery Wedding Invites Complete Guide</t>
  </si>
  <si>
    <t xml:space="preserve">US-3</t>
  </si>
  <si>
    <t xml:space="preserve">Printed Wedding Invitations Complete Guide</t>
  </si>
  <si>
    <t xml:space="preserve">Identical artwork to US-13, which is used in R11</t>
  </si>
  <si>
    <t xml:space="preserve">Wedding Shower Invitations: Wording, Etiquette &amp; Ideas (2026)</t>
  </si>
  <si>
    <t xml:space="preserve">Personalised Wedding Invitations Complete Guide</t>
  </si>
  <si>
    <t xml:space="preserve">Gender Reveal Party Invitations: Wording, Ideas &amp; Free Templates</t>
  </si>
  <si>
    <t xml:space="preserve">US-7</t>
  </si>
  <si>
    <t xml:space="preserve">Wedding Invitation Suites</t>
  </si>
  <si>
    <t xml:space="preserve">Identical artwork to UK-23, which is used in C25</t>
  </si>
  <si>
    <t xml:space="preserve">Print Invitations Complete Guide</t>
  </si>
  <si>
    <t xml:space="preserve">Printable Party Invitations Complete Guide</t>
  </si>
  <si>
    <t xml:space="preserve">Wedding Invitations Cheap</t>
  </si>
  <si>
    <t xml:space="preserve">Online Wedding Invitation Platform</t>
  </si>
  <si>
    <t xml:space="preserve">When Do You Send Out Wedding Invitations? The Complete Timeline</t>
  </si>
  <si>
    <t xml:space="preserve">US-29</t>
  </si>
  <si>
    <t xml:space="preserve">Invitation Template Guide</t>
  </si>
  <si>
    <t xml:space="preserve">Identical artwork to US-18, which is used in S34</t>
  </si>
  <si>
    <t xml:space="preserve">What Does RSVP Mean</t>
  </si>
  <si>
    <t xml:space="preserve">Personalized Party Invites Guide</t>
  </si>
  <si>
    <t xml:space="preserve">The Complete Guide to Christmas Party Invitations: Wording, Design, and Digital Solutions</t>
  </si>
  <si>
    <t xml:space="preserve">Wedding RSVP Cards: What to Include &amp; How to Track</t>
  </si>
  <si>
    <t xml:space="preserve">Wedding Invitation Suites: Complete Guide</t>
  </si>
  <si>
    <t xml:space="preserve">US-57</t>
  </si>
  <si>
    <t xml:space="preserve">Housewarming Party Invitations: Wording, Ideas &amp; Etiquette</t>
  </si>
  <si>
    <t xml:space="preserve">Identical artwork to US-12, which is used in C20</t>
  </si>
  <si>
    <t xml:space="preserve">Punch Bowl Invites: Complete Guide</t>
  </si>
  <si>
    <t xml:space="preserve">Graduation Party Invitations: Wording &amp; Ideas</t>
  </si>
  <si>
    <t xml:space="preserve">Wedding Invites Cheap: Complete Guide</t>
  </si>
  <si>
    <t xml:space="preserve">Wedding Invitations Cheap: Complete Guide</t>
  </si>
  <si>
    <t xml:space="preserve">Invitation To Birthday Party: Wording &amp; Creative Ideas</t>
  </si>
  <si>
    <t xml:space="preserve">US-78</t>
  </si>
  <si>
    <t xml:space="preserve">Minted Wedding Website: Complete Guide</t>
  </si>
  <si>
    <t xml:space="preserve">Identical artwork to US-56, which is used in C01</t>
  </si>
  <si>
    <t xml:space="preserve">Electronic Wedding Invitations: Complete Guide</t>
  </si>
  <si>
    <t xml:space="preserve">Wedding Cards: Complete Guide</t>
  </si>
  <si>
    <t xml:space="preserve">Birthday Invitation: Wording &amp; Creative Ideas</t>
  </si>
  <si>
    <t xml:space="preserve">US-90</t>
  </si>
  <si>
    <t xml:space="preserve">Birthday Invite Template Free: Complete Guide</t>
  </si>
  <si>
    <t xml:space="preserve">Identical artwork to US-80, which is used in C18</t>
  </si>
  <si>
    <t xml:space="preserve">Bezos Wedding Invite: Complete Guide</t>
  </si>
  <si>
    <t xml:space="preserve">New watercolour (generated for this campaign)</t>
  </si>
  <si>
    <t xml:space="preserve">F01, F02</t>
  </si>
  <si>
    <t xml:space="preserve">Shared by 2 posts (festival post and its reminder)</t>
  </si>
  <si>
    <t xml:space="preserve">F04, F05</t>
  </si>
  <si>
    <t xml:space="preserve">F07, F08</t>
  </si>
  <si>
    <t xml:space="preserve">F12, F13</t>
  </si>
  <si>
    <t xml:space="preserve">F15, F16</t>
  </si>
  <si>
    <t xml:space="preserve">F21, F22</t>
  </si>
  <si>
    <t xml:space="preserve">F24, F25</t>
  </si>
  <si>
    <t xml:space="preserve">F26, F27</t>
  </si>
  <si>
    <t xml:space="preserve">F31, F32</t>
  </si>
  <si>
    <t xml:space="preserve">F37, F38</t>
  </si>
  <si>
    <t xml:space="preserve">F39, F40</t>
  </si>
  <si>
    <t xml:space="preserve">~10 days before</t>
  </si>
  <si>
    <t xml:space="preserve">Post IDs</t>
  </si>
  <si>
    <t xml:space="preserve">F01 (T10), F02 (REM), F03 (DAY)</t>
  </si>
  <si>
    <t xml:space="preserve">F04 (T10), F05 (REM), F06 (DAY)</t>
  </si>
  <si>
    <t xml:space="preserve">F07 (T10), F08 (REM), F09 (DAY)</t>
  </si>
  <si>
    <t xml:space="preserve">F10 (T10), R02 (REM), F11 (DAY)</t>
  </si>
  <si>
    <t xml:space="preserve">F12 (T10), F13 (REM), F14 (DAY)</t>
  </si>
  <si>
    <t xml:space="preserve">F15 (T10), F16 (REM), F17 (DAY)</t>
  </si>
  <si>
    <t xml:space="preserve">F18 (T10), R03 (REM), S24 (DAY)</t>
  </si>
  <si>
    <t xml:space="preserve">C35 (T10), F19 (REM), F20 (DAY)</t>
  </si>
  <si>
    <t xml:space="preserve">F21 (T10), F22 (REM), F23 (DAY)</t>
  </si>
  <si>
    <t xml:space="preserve">F24 (T10), F25 (REM), S06 (DAY)</t>
  </si>
  <si>
    <t xml:space="preserve">F26 (T10), F27 (REM), F28 (DAY)</t>
  </si>
  <si>
    <t xml:space="preserve">F29 (T10), R09 (REM), F30 (DAY)</t>
  </si>
  <si>
    <t xml:space="preserve">F31 (T10), F32 (REM), F33 (DAY)</t>
  </si>
  <si>
    <t xml:space="preserve">C20 (T10), R04 (REM), F34 (DAY)</t>
  </si>
  <si>
    <t xml:space="preserve">F35 (T10), R15 (REM), F36 (DAY)</t>
  </si>
  <si>
    <t xml:space="preserve">F37 (T10), F38 (REM), S05 (DAY)</t>
  </si>
  <si>
    <t xml:space="preserve">F39 (T10), F40 (REM), F41 (DAY)</t>
  </si>
</sst>
</file>

<file path=xl/styles.xml><?xml version="1.0" encoding="utf-8"?>
<styleSheet xmlns="http://schemas.openxmlformats.org/spreadsheetml/2006/main">
  <numFmts count="4">
    <numFmt numFmtId="164" formatCode="General"/>
    <numFmt numFmtId="165" formatCode="ddd\ dd\-mmm\-yyyy"/>
    <numFmt numFmtId="166" formatCode="@"/>
    <numFmt numFmtId="167" formatCode="dd\-mmm\-yyyy"/>
  </numFmts>
  <fonts count="11">
    <font>
      <sz val="11"/>
      <color theme="1"/>
      <name val="Calibri"/>
      <family val="2"/>
      <charset val="1"/>
    </font>
    <font>
      <sz val="10"/>
      <name val="Arial"/>
      <family val="0"/>
    </font>
    <font>
      <sz val="10"/>
      <name val="Arial"/>
      <family val="0"/>
    </font>
    <font>
      <sz val="10"/>
      <name val="Arial"/>
      <family val="0"/>
    </font>
    <font>
      <b val="true"/>
      <sz val="16"/>
      <color rgb="FF3A0E10"/>
      <name val="Arial"/>
      <family val="0"/>
      <charset val="1"/>
    </font>
    <font>
      <i val="true"/>
      <sz val="10"/>
      <name val="Arial"/>
      <family val="0"/>
      <charset val="1"/>
    </font>
    <font>
      <b val="true"/>
      <sz val="11"/>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999999"/>
      <name val="Arial"/>
      <family val="0"/>
      <charset val="1"/>
    </font>
  </fonts>
  <fills count="6">
    <fill>
      <patternFill patternType="none"/>
    </fill>
    <fill>
      <patternFill patternType="gray125"/>
    </fill>
    <fill>
      <patternFill patternType="solid">
        <fgColor rgb="FF3A0E10"/>
        <bgColor rgb="FF333333"/>
      </patternFill>
    </fill>
    <fill>
      <patternFill patternType="solid">
        <fgColor rgb="FFFDEBD3"/>
        <bgColor rgb="FFFBDAD7"/>
      </patternFill>
    </fill>
    <fill>
      <patternFill patternType="solid">
        <fgColor rgb="FFE3EEE5"/>
        <bgColor rgb="FFFDEBD3"/>
      </patternFill>
    </fill>
    <fill>
      <patternFill patternType="solid">
        <fgColor rgb="FFFBDAD7"/>
        <bgColor rgb="FFFDEBD3"/>
      </patternFill>
    </fill>
  </fills>
  <borders count="2">
    <border diagonalUp="false" diagonalDown="false">
      <left/>
      <right/>
      <top/>
      <bottom/>
      <diagonal/>
    </border>
    <border diagonalUp="false" diagonalDown="false">
      <left/>
      <right/>
      <top/>
      <bottom style="thin">
        <color rgb="FFE6D8C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3A0E10"/>
          <bgColor rgb="FF000000"/>
        </patternFill>
      </fill>
    </dxf>
    <dxf>
      <fill>
        <patternFill patternType="solid">
          <bgColor rgb="FF000000"/>
        </patternFill>
      </fill>
    </dxf>
    <dxf>
      <fill>
        <patternFill patternType="solid">
          <fgColor rgb="FFFFFFFF"/>
          <bgColor rgb="FF000000"/>
        </patternFill>
      </fill>
    </dxf>
    <dxf>
      <fill>
        <patternFill patternType="solid">
          <fgColor rgb="FFE3EEE5"/>
          <bgColor rgb="FF000000"/>
        </patternFill>
      </fill>
    </dxf>
    <dxf>
      <fill>
        <patternFill patternType="solid">
          <fgColor rgb="FFFBDAD7"/>
          <bgColor rgb="FF000000"/>
        </patternFill>
      </fill>
    </dxf>
    <dxf>
      <fill>
        <patternFill patternType="solid">
          <fgColor rgb="FFFDEBD3"/>
          <bgColor rgb="FF000000"/>
        </patternFill>
      </fill>
    </dxf>
    <dxf>
      <fill>
        <patternFill patternType="solid">
          <fgColor rgb="FF9999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BD3"/>
      <rgbColor rgb="FFCCFFFF"/>
      <rgbColor rgb="FF660066"/>
      <rgbColor rgb="FFFF8080"/>
      <rgbColor rgb="FF0066CC"/>
      <rgbColor rgb="FFFBDAD7"/>
      <rgbColor rgb="FF000080"/>
      <rgbColor rgb="FFFF00FF"/>
      <rgbColor rgb="FFFFFF00"/>
      <rgbColor rgb="FF00FFFF"/>
      <rgbColor rgb="FF800080"/>
      <rgbColor rgb="FF800000"/>
      <rgbColor rgb="FF008080"/>
      <rgbColor rgb="FF0000FF"/>
      <rgbColor rgb="FF00CCFF"/>
      <rgbColor rgb="FFCCFFFF"/>
      <rgbColor rgb="FFE3EEE5"/>
      <rgbColor rgb="FFFFFF99"/>
      <rgbColor rgb="FF99CCFF"/>
      <rgbColor rgb="FFFF99CC"/>
      <rgbColor rgb="FFCC99FF"/>
      <rgbColor rgb="FFE6D8C3"/>
      <rgbColor rgb="FF3366FF"/>
      <rgbColor rgb="FF33CCCC"/>
      <rgbColor rgb="FF99CC00"/>
      <rgbColor rgb="FFFFCC00"/>
      <rgbColor rgb="FFFF9900"/>
      <rgbColor rgb="FFFF6600"/>
      <rgbColor rgb="FF666699"/>
      <rgbColor rgb="FF999999"/>
      <rgbColor rgb="FF003366"/>
      <rgbColor rgb="FF339966"/>
      <rgbColor rgb="FF003300"/>
      <rgbColor rgb="FF3A0E1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7" min="3" style="0" width="12"/>
  </cols>
  <sheetData>
    <row r="1" customFormat="false" ht="19.7" hidden="false" customHeight="false" outlineLevel="0" collapsed="false">
      <c r="A1" s="1" t="s">
        <v>0</v>
      </c>
    </row>
    <row r="2" customFormat="false" ht="43.5" hidden="false" customHeight="true" outlineLevel="0" collapsed="false">
      <c r="A2" s="2" t="s">
        <v>1</v>
      </c>
      <c r="B2" s="2"/>
      <c r="C2" s="2"/>
      <c r="D2" s="2"/>
      <c r="E2" s="2"/>
      <c r="F2" s="2"/>
      <c r="G2" s="2"/>
    </row>
    <row r="4" customFormat="false" ht="15" hidden="false" customHeight="false" outlineLevel="0" collapsed="false">
      <c r="A4" s="3" t="s">
        <v>2</v>
      </c>
    </row>
    <row r="5" customFormat="false" ht="15" hidden="false" customHeight="false" outlineLevel="0" collapsed="false">
      <c r="A5" s="4" t="s">
        <v>3</v>
      </c>
      <c r="B5" s="4" t="n">
        <f aca="false">COUNTIF(Calendar!$F$2:$F$201,"Single")</f>
        <v>103</v>
      </c>
    </row>
    <row r="6" customFormat="false" ht="15" hidden="false" customHeight="false" outlineLevel="0" collapsed="false">
      <c r="A6" s="4" t="s">
        <v>4</v>
      </c>
      <c r="B6" s="4" t="n">
        <f aca="false">COUNTIF(Calendar!$F$2:$F$201,"Carousel")</f>
        <v>69</v>
      </c>
    </row>
    <row r="7" customFormat="false" ht="15" hidden="false" customHeight="false" outlineLevel="0" collapsed="false">
      <c r="A7" s="4" t="s">
        <v>5</v>
      </c>
      <c r="B7" s="4" t="n">
        <f aca="false">COUNTIF(Calendar!$F$2:$F$201,"Reel")</f>
        <v>28</v>
      </c>
    </row>
    <row r="8" customFormat="false" ht="15" hidden="false" customHeight="false" outlineLevel="0" collapsed="false">
      <c r="A8" s="3" t="s">
        <v>6</v>
      </c>
      <c r="B8" s="3" t="n">
        <f aca="false">SUM(B5:B7)</f>
        <v>200</v>
      </c>
    </row>
    <row r="10" customFormat="false" ht="15" hidden="false" customHeight="false" outlineLevel="0" collapsed="false">
      <c r="A10" s="3" t="s">
        <v>7</v>
      </c>
      <c r="B10" s="3" t="s">
        <v>3</v>
      </c>
      <c r="C10" s="3" t="s">
        <v>4</v>
      </c>
      <c r="D10" s="3" t="s">
        <v>5</v>
      </c>
      <c r="E10" s="3" t="s">
        <v>8</v>
      </c>
    </row>
    <row r="11" customFormat="false" ht="15" hidden="false" customHeight="false" outlineLevel="0" collapsed="false">
      <c r="A11" s="4" t="s">
        <v>9</v>
      </c>
      <c r="B11" s="4" t="n">
        <f aca="false">COUNTIFS(Calendar!$G$2:$G$201,"India",Calendar!$F$2:$F$201,"Single")</f>
        <v>32</v>
      </c>
      <c r="C11" s="4" t="n">
        <f aca="false">COUNTIFS(Calendar!$G$2:$G$201,"India",Calendar!$F$2:$F$201,"Carousel")</f>
        <v>31</v>
      </c>
      <c r="D11" s="4" t="n">
        <f aca="false">COUNTIFS(Calendar!$G$2:$G$201,"India",Calendar!$F$2:$F$201,"Reel")</f>
        <v>13</v>
      </c>
      <c r="E11" s="4" t="n">
        <f aca="false">SUM(B11:D11)</f>
        <v>76</v>
      </c>
    </row>
    <row r="12" customFormat="false" ht="15" hidden="false" customHeight="false" outlineLevel="0" collapsed="false">
      <c r="A12" s="4" t="s">
        <v>10</v>
      </c>
      <c r="B12" s="4" t="n">
        <f aca="false">COUNTIFS(Calendar!$G$2:$G$201,"USA",Calendar!$F$2:$F$201,"Single")</f>
        <v>32</v>
      </c>
      <c r="C12" s="4" t="n">
        <f aca="false">COUNTIFS(Calendar!$G$2:$G$201,"USA",Calendar!$F$2:$F$201,"Carousel")</f>
        <v>19</v>
      </c>
      <c r="D12" s="4" t="n">
        <f aca="false">COUNTIFS(Calendar!$G$2:$G$201,"USA",Calendar!$F$2:$F$201,"Reel")</f>
        <v>6</v>
      </c>
      <c r="E12" s="4" t="n">
        <f aca="false">SUM(B12:D12)</f>
        <v>57</v>
      </c>
    </row>
    <row r="13" customFormat="false" ht="15" hidden="false" customHeight="false" outlineLevel="0" collapsed="false">
      <c r="A13" s="4" t="s">
        <v>11</v>
      </c>
      <c r="B13" s="4" t="n">
        <f aca="false">COUNTIFS(Calendar!$G$2:$G$201,"UK",Calendar!$F$2:$F$201,"Single")</f>
        <v>32</v>
      </c>
      <c r="C13" s="4" t="n">
        <f aca="false">COUNTIFS(Calendar!$G$2:$G$201,"UK",Calendar!$F$2:$F$201,"Carousel")</f>
        <v>10</v>
      </c>
      <c r="D13" s="4" t="n">
        <f aca="false">COUNTIFS(Calendar!$G$2:$G$201,"UK",Calendar!$F$2:$F$201,"Reel")</f>
        <v>2</v>
      </c>
      <c r="E13" s="4" t="n">
        <f aca="false">SUM(B13:D13)</f>
        <v>44</v>
      </c>
    </row>
    <row r="14" customFormat="false" ht="15" hidden="false" customHeight="false" outlineLevel="0" collapsed="false">
      <c r="A14" s="4" t="s">
        <v>12</v>
      </c>
      <c r="B14" s="4" t="n">
        <f aca="false">COUNTIFS(Calendar!$G$2:$G$201,"Global",Calendar!$F$2:$F$201,"Single")</f>
        <v>7</v>
      </c>
      <c r="C14" s="4" t="n">
        <f aca="false">COUNTIFS(Calendar!$G$2:$G$201,"Global",Calendar!$F$2:$F$201,"Carousel")</f>
        <v>9</v>
      </c>
      <c r="D14" s="4" t="n">
        <f aca="false">COUNTIFS(Calendar!$G$2:$G$201,"Global",Calendar!$F$2:$F$201,"Reel")</f>
        <v>7</v>
      </c>
      <c r="E14" s="4" t="n">
        <f aca="false">SUM(B14:D14)</f>
        <v>23</v>
      </c>
    </row>
    <row r="16" customFormat="false" ht="15" hidden="false" customHeight="false" outlineLevel="0" collapsed="false">
      <c r="A16" s="3" t="s">
        <v>13</v>
      </c>
    </row>
    <row r="17" customFormat="false" ht="15" hidden="false" customHeight="false" outlineLevel="0" collapsed="false">
      <c r="A17" s="4" t="s">
        <v>14</v>
      </c>
      <c r="B17" s="4" t="n">
        <f aca="false">COUNTIF(Calendar!$V$2:$V$201,"Ready")</f>
        <v>200</v>
      </c>
    </row>
    <row r="18" customFormat="false" ht="15" hidden="false" customHeight="false" outlineLevel="0" collapsed="false">
      <c r="A18" s="4" t="s">
        <v>15</v>
      </c>
      <c r="B18" s="4" t="n">
        <f aca="false">COUNTIF(Calendar!$V$2:$V$201,"Scheduled")</f>
        <v>0</v>
      </c>
    </row>
    <row r="19" customFormat="false" ht="15" hidden="false" customHeight="false" outlineLevel="0" collapsed="false">
      <c r="A19" s="4" t="s">
        <v>16</v>
      </c>
      <c r="B19" s="4" t="n">
        <f aca="false">COUNTIF(Calendar!$V$2:$V$201,"Posted")</f>
        <v>0</v>
      </c>
    </row>
    <row r="20" customFormat="false" ht="15" hidden="false" customHeight="false" outlineLevel="0" collapsed="false">
      <c r="A20" s="4" t="s">
        <v>17</v>
      </c>
      <c r="B20" s="4" t="n">
        <f aca="false">COUNTIF(Calendar!$V$2:$V$201,"On hold")</f>
        <v>0</v>
      </c>
    </row>
    <row r="22" customFormat="false" ht="15" hidden="false" customHeight="false" outlineLevel="0" collapsed="false">
      <c r="A22" s="3" t="s">
        <v>18</v>
      </c>
    </row>
    <row r="23" customFormat="false" ht="15" hidden="false" customHeight="false" outlineLevel="0" collapsed="false">
      <c r="A23" s="4" t="s">
        <v>19</v>
      </c>
      <c r="B23" s="4" t="n">
        <f aca="false">COUNTA('Image usage log'!A2:A264)</f>
        <v>263</v>
      </c>
    </row>
    <row r="24" customFormat="false" ht="15" hidden="false" customHeight="false" outlineLevel="0" collapsed="false">
      <c r="A24" s="4" t="s">
        <v>20</v>
      </c>
      <c r="B24" s="4" t="n">
        <f aca="false">COUNTIF('Image usage log'!D2:D264,"Used")</f>
        <v>245</v>
      </c>
    </row>
    <row r="25" customFormat="false" ht="15" hidden="false" customHeight="false" outlineLevel="0" collapsed="false">
      <c r="A25" s="4" t="s">
        <v>21</v>
      </c>
      <c r="B25" s="4" t="n">
        <f aca="false">COUNTIF('Image usage log'!D2:D264,"Skipped (duplicate)")</f>
        <v>18</v>
      </c>
    </row>
    <row r="27" customFormat="false" ht="15.75" hidden="false" customHeight="true" outlineLevel="0" collapsed="false">
      <c r="A27" s="5" t="s">
        <v>22</v>
      </c>
      <c r="B27" s="5"/>
      <c r="C27" s="5"/>
      <c r="D27" s="5"/>
      <c r="E27" s="5"/>
      <c r="F27" s="5"/>
      <c r="G27" s="5"/>
    </row>
    <row r="28" customFormat="false" ht="30" hidden="false" customHeight="true" outlineLevel="0" collapsed="false">
      <c r="A28" s="6" t="s">
        <v>23</v>
      </c>
      <c r="B28" s="6"/>
      <c r="C28" s="6"/>
      <c r="D28" s="6"/>
      <c r="E28" s="6"/>
      <c r="F28" s="6"/>
      <c r="G28" s="6"/>
    </row>
    <row r="29" customFormat="false" ht="30" hidden="false" customHeight="true" outlineLevel="0" collapsed="false">
      <c r="A29" s="6" t="s">
        <v>24</v>
      </c>
      <c r="B29" s="6"/>
      <c r="C29" s="6"/>
      <c r="D29" s="6"/>
      <c r="E29" s="6"/>
      <c r="F29" s="6"/>
      <c r="G29" s="6"/>
    </row>
    <row r="30" customFormat="false" ht="30" hidden="false" customHeight="true" outlineLevel="0" collapsed="false">
      <c r="A30" s="6" t="s">
        <v>25</v>
      </c>
      <c r="B30" s="6"/>
      <c r="C30" s="6"/>
      <c r="D30" s="6"/>
      <c r="E30" s="6"/>
      <c r="F30" s="6"/>
      <c r="G30" s="6"/>
    </row>
    <row r="31" customFormat="false" ht="30" hidden="false" customHeight="true" outlineLevel="0" collapsed="false">
      <c r="A31" s="6" t="s">
        <v>26</v>
      </c>
      <c r="B31" s="6"/>
      <c r="C31" s="6"/>
      <c r="D31" s="6"/>
      <c r="E31" s="6"/>
      <c r="F31" s="6"/>
      <c r="G31" s="6"/>
    </row>
    <row r="32" customFormat="false" ht="30" hidden="false" customHeight="true" outlineLevel="0" collapsed="false">
      <c r="A32" s="6" t="s">
        <v>27</v>
      </c>
      <c r="B32" s="6"/>
      <c r="C32" s="6"/>
      <c r="D32" s="6"/>
      <c r="E32" s="6"/>
      <c r="F32" s="6"/>
      <c r="G32" s="6"/>
    </row>
    <row r="33" customFormat="false" ht="30" hidden="false" customHeight="true" outlineLevel="0" collapsed="false">
      <c r="A33" s="6" t="s">
        <v>28</v>
      </c>
      <c r="B33" s="6"/>
      <c r="C33" s="6"/>
      <c r="D33" s="6"/>
      <c r="E33" s="6"/>
      <c r="F33" s="6"/>
      <c r="G33" s="6"/>
    </row>
  </sheetData>
  <mergeCells count="8">
    <mergeCell ref="A2:G2"/>
    <mergeCell ref="A27:G27"/>
    <mergeCell ref="A28:G28"/>
    <mergeCell ref="A29:G29"/>
    <mergeCell ref="A30:G30"/>
    <mergeCell ref="A31:G31"/>
    <mergeCell ref="A32:G32"/>
    <mergeCell ref="A33:G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6"/>
    <col collapsed="false" customWidth="true" hidden="false" outlineLevel="0" max="4" min="4" style="0" width="9"/>
    <col collapsed="false" customWidth="true" hidden="false" outlineLevel="0" max="5" min="5" style="0" width="18"/>
    <col collapsed="false" customWidth="true" hidden="false" outlineLevel="0" max="6" min="6" style="0" width="10"/>
    <col collapsed="false" customWidth="true" hidden="false" outlineLevel="0" max="7" min="7" style="0" width="9"/>
    <col collapsed="false" customWidth="true" hidden="false" outlineLevel="0" max="8" min="8" style="0" width="8"/>
    <col collapsed="false" customWidth="true" hidden="false" outlineLevel="0" max="9" min="9" style="0" width="30"/>
    <col collapsed="false" customWidth="true" hidden="false" outlineLevel="0" max="10" min="10" style="0" width="34"/>
    <col collapsed="false" customWidth="true" hidden="false" outlineLevel="0" max="11" min="11" style="0" width="70"/>
    <col collapsed="false" customWidth="true" hidden="false" outlineLevel="0" max="12" min="12" style="0" width="45"/>
    <col collapsed="false" customWidth="true" hidden="false" outlineLevel="0" max="13" min="13" style="0" width="30"/>
    <col collapsed="false" customWidth="true" hidden="false" outlineLevel="0" max="14" min="14" style="0" width="40"/>
    <col collapsed="false" customWidth="true" hidden="false" outlineLevel="0" max="15" min="15" style="0" width="18"/>
    <col collapsed="false" customWidth="true" hidden="false" outlineLevel="0" max="16" min="16" style="0" width="12"/>
    <col collapsed="false" customWidth="true" hidden="false" outlineLevel="0" max="17" min="17" style="0" width="30"/>
    <col collapsed="false" customWidth="true" hidden="false" outlineLevel="0" max="18" min="18" style="0" width="14"/>
    <col collapsed="false" customWidth="true" hidden="false" outlineLevel="0" max="19" min="19" style="0" width="45"/>
    <col collapsed="false" customWidth="true" hidden="false" outlineLevel="0" max="20" min="20" style="0" width="48"/>
    <col collapsed="false" customWidth="true" hidden="false" outlineLevel="0" max="21" min="21" style="0" width="30"/>
    <col collapsed="false" customWidth="true" hidden="false" outlineLevel="0" max="22" min="22" style="0" width="12"/>
    <col collapsed="false" customWidth="true" hidden="false" outlineLevel="0" max="23" min="23" style="0" width="26"/>
    <col collapsed="false" customWidth="true" hidden="false" outlineLevel="0" max="24" min="24" style="0" width="16"/>
    <col collapsed="false" customWidth="true" hidden="false" outlineLevel="0" max="25" min="25" style="0" width="13"/>
    <col collapsed="false" customWidth="true" hidden="false" outlineLevel="0" max="26" min="26" style="0" width="10"/>
    <col collapsed="false" customWidth="true" hidden="false" outlineLevel="0" max="27" min="27" style="0" width="14"/>
  </cols>
  <sheetData>
    <row r="1" customFormat="false" ht="30" hidden="false" customHeight="true" outlineLevel="0" collapsed="false">
      <c r="A1" s="7" t="s">
        <v>29</v>
      </c>
      <c r="B1" s="7" t="s">
        <v>30</v>
      </c>
      <c r="C1" s="7" t="s">
        <v>31</v>
      </c>
      <c r="D1" s="7" t="s">
        <v>32</v>
      </c>
      <c r="E1" s="7" t="s">
        <v>33</v>
      </c>
      <c r="F1" s="7" t="s">
        <v>34</v>
      </c>
      <c r="G1" s="7" t="s">
        <v>35</v>
      </c>
      <c r="H1" s="7" t="s">
        <v>36</v>
      </c>
      <c r="I1" s="7" t="s">
        <v>37</v>
      </c>
      <c r="J1" s="7" t="s">
        <v>38</v>
      </c>
      <c r="K1" s="7" t="s">
        <v>39</v>
      </c>
      <c r="L1" s="7" t="s">
        <v>40</v>
      </c>
      <c r="M1" s="7" t="s">
        <v>41</v>
      </c>
      <c r="N1" s="7" t="s">
        <v>42</v>
      </c>
      <c r="O1" s="7" t="s">
        <v>43</v>
      </c>
      <c r="P1" s="7" t="s">
        <v>44</v>
      </c>
      <c r="Q1" s="7" t="s">
        <v>45</v>
      </c>
      <c r="R1" s="7" t="s">
        <v>46</v>
      </c>
      <c r="S1" s="7" t="s">
        <v>47</v>
      </c>
      <c r="T1" s="7" t="s">
        <v>48</v>
      </c>
      <c r="U1" s="7" t="s">
        <v>49</v>
      </c>
      <c r="V1" s="7" t="s">
        <v>50</v>
      </c>
      <c r="W1" s="7" t="s">
        <v>51</v>
      </c>
      <c r="X1" s="7" t="s">
        <v>52</v>
      </c>
      <c r="Y1" s="7" t="s">
        <v>53</v>
      </c>
      <c r="Z1" s="7" t="s">
        <v>54</v>
      </c>
      <c r="AA1" s="7" t="s">
        <v>55</v>
      </c>
    </row>
    <row r="2" customFormat="false" ht="120" hidden="false" customHeight="true" outlineLevel="0" collapsed="false">
      <c r="A2" s="8" t="n">
        <v>1</v>
      </c>
      <c r="B2" s="9" t="n">
        <v>46302</v>
      </c>
      <c r="C2" s="8" t="str">
        <f aca="false">TEXT(B2,"ddd")</f>
        <v>Wed</v>
      </c>
      <c r="D2" s="8" t="s">
        <v>56</v>
      </c>
      <c r="E2" s="8" t="s">
        <v>57</v>
      </c>
      <c r="F2" s="10" t="s">
        <v>3</v>
      </c>
      <c r="G2" s="8" t="s">
        <v>9</v>
      </c>
      <c r="H2" s="8" t="s">
        <v>58</v>
      </c>
      <c r="I2" s="11" t="s">
        <v>59</v>
      </c>
      <c r="J2" s="11" t="s">
        <v>60</v>
      </c>
      <c r="K2" s="11" t="s">
        <v>61</v>
      </c>
      <c r="L2" s="11" t="s">
        <v>62</v>
      </c>
      <c r="M2" s="11" t="s">
        <v>63</v>
      </c>
      <c r="N2" s="11" t="s">
        <v>64</v>
      </c>
      <c r="O2" s="8" t="s">
        <v>65</v>
      </c>
      <c r="P2" s="8" t="s">
        <v>66</v>
      </c>
      <c r="Q2" s="11"/>
      <c r="R2" s="8" t="s">
        <v>67</v>
      </c>
      <c r="S2" s="11" t="s">
        <v>68</v>
      </c>
      <c r="T2" s="8" t="s">
        <v>69</v>
      </c>
      <c r="U2" s="11" t="s">
        <v>70</v>
      </c>
      <c r="V2" s="8" t="s">
        <v>14</v>
      </c>
      <c r="W2" s="8"/>
      <c r="X2" s="8"/>
      <c r="Y2" s="12"/>
      <c r="Z2" s="8" t="s">
        <v>71</v>
      </c>
      <c r="AA2" s="8"/>
    </row>
    <row r="3" customFormat="false" ht="120" hidden="false" customHeight="true" outlineLevel="0" collapsed="false">
      <c r="A3" s="8" t="n">
        <v>2</v>
      </c>
      <c r="B3" s="9" t="n">
        <v>46302</v>
      </c>
      <c r="C3" s="8" t="str">
        <f aca="false">TEXT(B3,"ddd")</f>
        <v>Wed</v>
      </c>
      <c r="D3" s="8" t="s">
        <v>72</v>
      </c>
      <c r="E3" s="8" t="s">
        <v>57</v>
      </c>
      <c r="F3" s="13" t="s">
        <v>4</v>
      </c>
      <c r="G3" s="8" t="s">
        <v>9</v>
      </c>
      <c r="H3" s="8" t="s">
        <v>73</v>
      </c>
      <c r="I3" s="11" t="s">
        <v>74</v>
      </c>
      <c r="J3" s="11" t="s">
        <v>75</v>
      </c>
      <c r="K3" s="11" t="s">
        <v>76</v>
      </c>
      <c r="L3" s="11" t="s">
        <v>77</v>
      </c>
      <c r="M3" s="11" t="s">
        <v>78</v>
      </c>
      <c r="N3" s="11" t="s">
        <v>79</v>
      </c>
      <c r="O3" s="8" t="s">
        <v>80</v>
      </c>
      <c r="P3" s="8" t="s">
        <v>81</v>
      </c>
      <c r="Q3" s="11"/>
      <c r="R3" s="8" t="s">
        <v>82</v>
      </c>
      <c r="S3" s="11" t="s">
        <v>83</v>
      </c>
      <c r="T3" s="8" t="s">
        <v>84</v>
      </c>
      <c r="U3" s="11" t="s">
        <v>85</v>
      </c>
      <c r="V3" s="8" t="s">
        <v>14</v>
      </c>
      <c r="W3" s="8"/>
      <c r="X3" s="8" t="s">
        <v>86</v>
      </c>
      <c r="Y3" s="12" t="s">
        <v>87</v>
      </c>
      <c r="Z3" s="8" t="s">
        <v>88</v>
      </c>
      <c r="AA3" s="8" t="s">
        <v>89</v>
      </c>
    </row>
    <row r="4" customFormat="false" ht="120" hidden="false" customHeight="true" outlineLevel="0" collapsed="false">
      <c r="A4" s="8" t="n">
        <v>3</v>
      </c>
      <c r="B4" s="9" t="n">
        <v>46303</v>
      </c>
      <c r="C4" s="8" t="str">
        <f aca="false">TEXT(B4,"ddd")</f>
        <v>Thu</v>
      </c>
      <c r="D4" s="8" t="s">
        <v>56</v>
      </c>
      <c r="E4" s="8" t="s">
        <v>57</v>
      </c>
      <c r="F4" s="13" t="s">
        <v>4</v>
      </c>
      <c r="G4" s="8" t="s">
        <v>9</v>
      </c>
      <c r="H4" s="8" t="s">
        <v>90</v>
      </c>
      <c r="I4" s="11" t="s">
        <v>91</v>
      </c>
      <c r="J4" s="11" t="s">
        <v>92</v>
      </c>
      <c r="K4" s="11" t="s">
        <v>93</v>
      </c>
      <c r="L4" s="11" t="s">
        <v>94</v>
      </c>
      <c r="M4" s="11" t="s">
        <v>95</v>
      </c>
      <c r="N4" s="11" t="s">
        <v>96</v>
      </c>
      <c r="O4" s="8" t="s">
        <v>97</v>
      </c>
      <c r="P4" s="8" t="s">
        <v>81</v>
      </c>
      <c r="Q4" s="11"/>
      <c r="R4" s="8" t="s">
        <v>98</v>
      </c>
      <c r="S4" s="11" t="s">
        <v>99</v>
      </c>
      <c r="T4" s="8" t="s">
        <v>100</v>
      </c>
      <c r="U4" s="11" t="s">
        <v>85</v>
      </c>
      <c r="V4" s="8" t="s">
        <v>14</v>
      </c>
      <c r="W4" s="8"/>
      <c r="X4" s="8"/>
      <c r="Y4" s="12"/>
      <c r="Z4" s="8" t="s">
        <v>71</v>
      </c>
      <c r="AA4" s="8"/>
    </row>
    <row r="5" customFormat="false" ht="120" hidden="false" customHeight="true" outlineLevel="0" collapsed="false">
      <c r="A5" s="8" t="n">
        <v>4</v>
      </c>
      <c r="B5" s="9" t="n">
        <v>46303</v>
      </c>
      <c r="C5" s="8" t="str">
        <f aca="false">TEXT(B5,"ddd")</f>
        <v>Thu</v>
      </c>
      <c r="D5" s="8" t="s">
        <v>101</v>
      </c>
      <c r="E5" s="8" t="s">
        <v>57</v>
      </c>
      <c r="F5" s="10" t="s">
        <v>3</v>
      </c>
      <c r="G5" s="8" t="s">
        <v>12</v>
      </c>
      <c r="H5" s="8" t="s">
        <v>102</v>
      </c>
      <c r="I5" s="11" t="s">
        <v>103</v>
      </c>
      <c r="J5" s="11" t="s">
        <v>104</v>
      </c>
      <c r="K5" s="11" t="s">
        <v>105</v>
      </c>
      <c r="L5" s="11" t="s">
        <v>106</v>
      </c>
      <c r="M5" s="11" t="s">
        <v>107</v>
      </c>
      <c r="N5" s="11" t="s">
        <v>108</v>
      </c>
      <c r="O5" s="8" t="s">
        <v>109</v>
      </c>
      <c r="P5" s="8" t="s">
        <v>66</v>
      </c>
      <c r="Q5" s="11"/>
      <c r="R5" s="8" t="s">
        <v>110</v>
      </c>
      <c r="S5" s="11" t="s">
        <v>111</v>
      </c>
      <c r="T5" s="8" t="s">
        <v>112</v>
      </c>
      <c r="U5" s="11" t="s">
        <v>70</v>
      </c>
      <c r="V5" s="8" t="s">
        <v>14</v>
      </c>
      <c r="W5" s="8"/>
      <c r="X5" s="8"/>
      <c r="Y5" s="12"/>
      <c r="Z5" s="8" t="s">
        <v>113</v>
      </c>
      <c r="AA5" s="8"/>
    </row>
    <row r="6" customFormat="false" ht="120" hidden="false" customHeight="true" outlineLevel="0" collapsed="false">
      <c r="A6" s="8" t="n">
        <v>5</v>
      </c>
      <c r="B6" s="9" t="n">
        <v>46304</v>
      </c>
      <c r="C6" s="8" t="str">
        <f aca="false">TEXT(B6,"ddd")</f>
        <v>Fri</v>
      </c>
      <c r="D6" s="8" t="s">
        <v>56</v>
      </c>
      <c r="E6" s="8" t="s">
        <v>57</v>
      </c>
      <c r="F6" s="14" t="s">
        <v>5</v>
      </c>
      <c r="G6" s="8" t="s">
        <v>9</v>
      </c>
      <c r="H6" s="8" t="s">
        <v>114</v>
      </c>
      <c r="I6" s="11" t="s">
        <v>115</v>
      </c>
      <c r="J6" s="11" t="s">
        <v>116</v>
      </c>
      <c r="K6" s="11" t="s">
        <v>117</v>
      </c>
      <c r="L6" s="11" t="s">
        <v>118</v>
      </c>
      <c r="M6" s="11" t="s">
        <v>119</v>
      </c>
      <c r="N6" s="11" t="s">
        <v>120</v>
      </c>
      <c r="O6" s="8" t="s">
        <v>121</v>
      </c>
      <c r="P6" s="8" t="s">
        <v>122</v>
      </c>
      <c r="Q6" s="11" t="s">
        <v>123</v>
      </c>
      <c r="R6" s="8" t="s">
        <v>124</v>
      </c>
      <c r="S6" s="11" t="s">
        <v>125</v>
      </c>
      <c r="T6" s="8" t="s">
        <v>126</v>
      </c>
      <c r="U6" s="11" t="s">
        <v>127</v>
      </c>
      <c r="V6" s="8" t="s">
        <v>14</v>
      </c>
      <c r="W6" s="8"/>
      <c r="X6" s="8"/>
      <c r="Y6" s="12"/>
      <c r="Z6" s="8" t="s">
        <v>71</v>
      </c>
      <c r="AA6" s="8"/>
    </row>
    <row r="7" customFormat="false" ht="120" hidden="false" customHeight="true" outlineLevel="0" collapsed="false">
      <c r="A7" s="8" t="n">
        <v>6</v>
      </c>
      <c r="B7" s="9" t="n">
        <v>46304</v>
      </c>
      <c r="C7" s="8" t="str">
        <f aca="false">TEXT(B7,"ddd")</f>
        <v>Fri</v>
      </c>
      <c r="D7" s="8" t="s">
        <v>128</v>
      </c>
      <c r="E7" s="8" t="s">
        <v>129</v>
      </c>
      <c r="F7" s="10" t="s">
        <v>3</v>
      </c>
      <c r="G7" s="8" t="s">
        <v>10</v>
      </c>
      <c r="H7" s="8" t="s">
        <v>130</v>
      </c>
      <c r="I7" s="11" t="s">
        <v>131</v>
      </c>
      <c r="J7" s="11" t="s">
        <v>132</v>
      </c>
      <c r="K7" s="11" t="s">
        <v>133</v>
      </c>
      <c r="L7" s="11" t="s">
        <v>134</v>
      </c>
      <c r="M7" s="11" t="s">
        <v>135</v>
      </c>
      <c r="N7" s="11" t="s">
        <v>136</v>
      </c>
      <c r="O7" s="8" t="s">
        <v>137</v>
      </c>
      <c r="P7" s="8" t="s">
        <v>66</v>
      </c>
      <c r="Q7" s="11"/>
      <c r="R7" s="8" t="s">
        <v>138</v>
      </c>
      <c r="S7" s="11" t="s">
        <v>139</v>
      </c>
      <c r="T7" s="8" t="s">
        <v>140</v>
      </c>
      <c r="U7" s="11" t="s">
        <v>70</v>
      </c>
      <c r="V7" s="8" t="s">
        <v>14</v>
      </c>
      <c r="W7" s="8"/>
      <c r="X7" s="8"/>
      <c r="Y7" s="12"/>
      <c r="Z7" s="8" t="s">
        <v>71</v>
      </c>
      <c r="AA7" s="8"/>
    </row>
    <row r="8" customFormat="false" ht="120" hidden="false" customHeight="true" outlineLevel="0" collapsed="false">
      <c r="A8" s="8" t="n">
        <v>7</v>
      </c>
      <c r="B8" s="9" t="n">
        <v>46305</v>
      </c>
      <c r="C8" s="8" t="str">
        <f aca="false">TEXT(B8,"ddd")</f>
        <v>Sat</v>
      </c>
      <c r="D8" s="8" t="s">
        <v>56</v>
      </c>
      <c r="E8" s="8" t="s">
        <v>57</v>
      </c>
      <c r="F8" s="14" t="s">
        <v>5</v>
      </c>
      <c r="G8" s="8" t="s">
        <v>9</v>
      </c>
      <c r="H8" s="8" t="s">
        <v>89</v>
      </c>
      <c r="I8" s="11" t="s">
        <v>141</v>
      </c>
      <c r="J8" s="11" t="s">
        <v>142</v>
      </c>
      <c r="K8" s="11" t="s">
        <v>143</v>
      </c>
      <c r="L8" s="11" t="s">
        <v>144</v>
      </c>
      <c r="M8" s="11" t="s">
        <v>145</v>
      </c>
      <c r="N8" s="11" t="s">
        <v>146</v>
      </c>
      <c r="O8" s="8" t="s">
        <v>147</v>
      </c>
      <c r="P8" s="8" t="s">
        <v>122</v>
      </c>
      <c r="Q8" s="11" t="s">
        <v>148</v>
      </c>
      <c r="R8" s="8" t="s">
        <v>82</v>
      </c>
      <c r="S8" s="11" t="s">
        <v>83</v>
      </c>
      <c r="T8" s="8" t="s">
        <v>149</v>
      </c>
      <c r="U8" s="11" t="s">
        <v>127</v>
      </c>
      <c r="V8" s="8" t="s">
        <v>14</v>
      </c>
      <c r="W8" s="8"/>
      <c r="X8" s="8" t="s">
        <v>86</v>
      </c>
      <c r="Y8" s="12" t="s">
        <v>87</v>
      </c>
      <c r="Z8" s="8" t="s">
        <v>150</v>
      </c>
      <c r="AA8" s="8" t="s">
        <v>73</v>
      </c>
    </row>
    <row r="9" customFormat="false" ht="120" hidden="false" customHeight="true" outlineLevel="0" collapsed="false">
      <c r="A9" s="8" t="n">
        <v>8</v>
      </c>
      <c r="B9" s="9" t="n">
        <v>46305</v>
      </c>
      <c r="C9" s="8" t="str">
        <f aca="false">TEXT(B9,"ddd")</f>
        <v>Sat</v>
      </c>
      <c r="D9" s="8" t="s">
        <v>72</v>
      </c>
      <c r="E9" s="8" t="s">
        <v>57</v>
      </c>
      <c r="F9" s="13" t="s">
        <v>4</v>
      </c>
      <c r="G9" s="8" t="s">
        <v>9</v>
      </c>
      <c r="H9" s="8" t="s">
        <v>151</v>
      </c>
      <c r="I9" s="11" t="s">
        <v>152</v>
      </c>
      <c r="J9" s="11" t="s">
        <v>153</v>
      </c>
      <c r="K9" s="11" t="s">
        <v>154</v>
      </c>
      <c r="L9" s="11" t="s">
        <v>155</v>
      </c>
      <c r="M9" s="11" t="s">
        <v>156</v>
      </c>
      <c r="N9" s="11" t="s">
        <v>157</v>
      </c>
      <c r="O9" s="8" t="s">
        <v>158</v>
      </c>
      <c r="P9" s="8" t="s">
        <v>81</v>
      </c>
      <c r="Q9" s="11"/>
      <c r="R9" s="8" t="s">
        <v>159</v>
      </c>
      <c r="S9" s="11" t="s">
        <v>83</v>
      </c>
      <c r="T9" s="8" t="s">
        <v>160</v>
      </c>
      <c r="U9" s="11" t="s">
        <v>85</v>
      </c>
      <c r="V9" s="8" t="s">
        <v>14</v>
      </c>
      <c r="W9" s="8"/>
      <c r="X9" s="8" t="s">
        <v>161</v>
      </c>
      <c r="Y9" s="12" t="s">
        <v>162</v>
      </c>
      <c r="Z9" s="8" t="s">
        <v>88</v>
      </c>
      <c r="AA9" s="8" t="s">
        <v>163</v>
      </c>
    </row>
    <row r="10" customFormat="false" ht="120" hidden="false" customHeight="true" outlineLevel="0" collapsed="false">
      <c r="A10" s="8" t="n">
        <v>9</v>
      </c>
      <c r="B10" s="9" t="n">
        <v>46306</v>
      </c>
      <c r="C10" s="8" t="str">
        <f aca="false">TEXT(B10,"ddd")</f>
        <v>Sun</v>
      </c>
      <c r="D10" s="8" t="s">
        <v>56</v>
      </c>
      <c r="E10" s="8" t="s">
        <v>57</v>
      </c>
      <c r="F10" s="10" t="s">
        <v>3</v>
      </c>
      <c r="G10" s="8" t="s">
        <v>9</v>
      </c>
      <c r="H10" s="8" t="s">
        <v>164</v>
      </c>
      <c r="I10" s="11" t="s">
        <v>165</v>
      </c>
      <c r="J10" s="11" t="s">
        <v>166</v>
      </c>
      <c r="K10" s="11" t="s">
        <v>167</v>
      </c>
      <c r="L10" s="11" t="s">
        <v>168</v>
      </c>
      <c r="M10" s="11" t="s">
        <v>169</v>
      </c>
      <c r="N10" s="11" t="s">
        <v>170</v>
      </c>
      <c r="O10" s="8" t="s">
        <v>171</v>
      </c>
      <c r="P10" s="8" t="s">
        <v>66</v>
      </c>
      <c r="Q10" s="11"/>
      <c r="R10" s="8" t="s">
        <v>172</v>
      </c>
      <c r="S10" s="11" t="s">
        <v>173</v>
      </c>
      <c r="T10" s="8" t="s">
        <v>174</v>
      </c>
      <c r="U10" s="11" t="s">
        <v>70</v>
      </c>
      <c r="V10" s="8" t="s">
        <v>14</v>
      </c>
      <c r="W10" s="8"/>
      <c r="X10" s="8" t="s">
        <v>86</v>
      </c>
      <c r="Y10" s="12" t="s">
        <v>87</v>
      </c>
      <c r="Z10" s="8" t="s">
        <v>175</v>
      </c>
      <c r="AA10" s="8"/>
    </row>
    <row r="11" customFormat="false" ht="120" hidden="false" customHeight="true" outlineLevel="0" collapsed="false">
      <c r="A11" s="8" t="n">
        <v>10</v>
      </c>
      <c r="B11" s="9" t="n">
        <v>46306</v>
      </c>
      <c r="C11" s="8" t="str">
        <f aca="false">TEXT(B11,"ddd")</f>
        <v>Sun</v>
      </c>
      <c r="D11" s="8" t="s">
        <v>128</v>
      </c>
      <c r="E11" s="8" t="s">
        <v>129</v>
      </c>
      <c r="F11" s="13" t="s">
        <v>4</v>
      </c>
      <c r="G11" s="8" t="s">
        <v>10</v>
      </c>
      <c r="H11" s="8" t="s">
        <v>176</v>
      </c>
      <c r="I11" s="11" t="s">
        <v>177</v>
      </c>
      <c r="J11" s="11" t="s">
        <v>178</v>
      </c>
      <c r="K11" s="11" t="s">
        <v>179</v>
      </c>
      <c r="L11" s="11" t="s">
        <v>180</v>
      </c>
      <c r="M11" s="11" t="s">
        <v>181</v>
      </c>
      <c r="N11" s="11" t="s">
        <v>182</v>
      </c>
      <c r="O11" s="8" t="s">
        <v>183</v>
      </c>
      <c r="P11" s="8" t="s">
        <v>81</v>
      </c>
      <c r="Q11" s="11"/>
      <c r="R11" s="8" t="s">
        <v>184</v>
      </c>
      <c r="S11" s="11" t="s">
        <v>185</v>
      </c>
      <c r="T11" s="8" t="s">
        <v>186</v>
      </c>
      <c r="U11" s="11" t="s">
        <v>85</v>
      </c>
      <c r="V11" s="8" t="s">
        <v>14</v>
      </c>
      <c r="W11" s="8"/>
      <c r="X11" s="8"/>
      <c r="Y11" s="12"/>
      <c r="Z11" s="8" t="s">
        <v>71</v>
      </c>
      <c r="AA11" s="8"/>
    </row>
    <row r="12" customFormat="false" ht="120" hidden="false" customHeight="true" outlineLevel="0" collapsed="false">
      <c r="A12" s="8" t="n">
        <v>11</v>
      </c>
      <c r="B12" s="9" t="n">
        <v>46307</v>
      </c>
      <c r="C12" s="8" t="str">
        <f aca="false">TEXT(B12,"ddd")</f>
        <v>Mon</v>
      </c>
      <c r="D12" s="8" t="s">
        <v>187</v>
      </c>
      <c r="E12" s="8" t="s">
        <v>188</v>
      </c>
      <c r="F12" s="10" t="s">
        <v>3</v>
      </c>
      <c r="G12" s="8" t="s">
        <v>11</v>
      </c>
      <c r="H12" s="8" t="s">
        <v>189</v>
      </c>
      <c r="I12" s="11" t="s">
        <v>190</v>
      </c>
      <c r="J12" s="11" t="s">
        <v>191</v>
      </c>
      <c r="K12" s="11" t="s">
        <v>192</v>
      </c>
      <c r="L12" s="11" t="s">
        <v>193</v>
      </c>
      <c r="M12" s="11" t="s">
        <v>194</v>
      </c>
      <c r="N12" s="11" t="s">
        <v>195</v>
      </c>
      <c r="O12" s="8" t="s">
        <v>80</v>
      </c>
      <c r="P12" s="8" t="s">
        <v>66</v>
      </c>
      <c r="Q12" s="11"/>
      <c r="R12" s="8" t="s">
        <v>196</v>
      </c>
      <c r="S12" s="11" t="s">
        <v>197</v>
      </c>
      <c r="T12" s="8" t="s">
        <v>198</v>
      </c>
      <c r="U12" s="11" t="s">
        <v>70</v>
      </c>
      <c r="V12" s="8" t="s">
        <v>14</v>
      </c>
      <c r="W12" s="8"/>
      <c r="X12" s="8"/>
      <c r="Y12" s="12"/>
      <c r="Z12" s="8" t="s">
        <v>71</v>
      </c>
      <c r="AA12" s="8"/>
    </row>
    <row r="13" customFormat="false" ht="120" hidden="false" customHeight="true" outlineLevel="0" collapsed="false">
      <c r="A13" s="8" t="n">
        <v>12</v>
      </c>
      <c r="B13" s="9" t="n">
        <v>46307</v>
      </c>
      <c r="C13" s="8" t="str">
        <f aca="false">TEXT(B13,"ddd")</f>
        <v>Mon</v>
      </c>
      <c r="D13" s="8" t="s">
        <v>101</v>
      </c>
      <c r="E13" s="8" t="s">
        <v>57</v>
      </c>
      <c r="F13" s="10" t="s">
        <v>3</v>
      </c>
      <c r="G13" s="8" t="s">
        <v>12</v>
      </c>
      <c r="H13" s="8" t="s">
        <v>199</v>
      </c>
      <c r="I13" s="11" t="s">
        <v>200</v>
      </c>
      <c r="J13" s="11" t="s">
        <v>201</v>
      </c>
      <c r="K13" s="11" t="s">
        <v>202</v>
      </c>
      <c r="L13" s="11" t="s">
        <v>203</v>
      </c>
      <c r="M13" s="11" t="s">
        <v>204</v>
      </c>
      <c r="N13" s="11" t="s">
        <v>205</v>
      </c>
      <c r="O13" s="8" t="s">
        <v>206</v>
      </c>
      <c r="P13" s="8" t="s">
        <v>66</v>
      </c>
      <c r="Q13" s="11"/>
      <c r="R13" s="8" t="s">
        <v>207</v>
      </c>
      <c r="S13" s="11" t="s">
        <v>208</v>
      </c>
      <c r="T13" s="8" t="s">
        <v>209</v>
      </c>
      <c r="U13" s="11" t="s">
        <v>70</v>
      </c>
      <c r="V13" s="8" t="s">
        <v>14</v>
      </c>
      <c r="W13" s="8"/>
      <c r="X13" s="8"/>
      <c r="Y13" s="12"/>
      <c r="Z13" s="8" t="s">
        <v>71</v>
      </c>
      <c r="AA13" s="8"/>
    </row>
    <row r="14" customFormat="false" ht="120" hidden="false" customHeight="true" outlineLevel="0" collapsed="false">
      <c r="A14" s="8" t="n">
        <v>13</v>
      </c>
      <c r="B14" s="9" t="n">
        <v>46308</v>
      </c>
      <c r="C14" s="8" t="str">
        <f aca="false">TEXT(B14,"ddd")</f>
        <v>Tue</v>
      </c>
      <c r="D14" s="8" t="s">
        <v>56</v>
      </c>
      <c r="E14" s="8" t="s">
        <v>57</v>
      </c>
      <c r="F14" s="10" t="s">
        <v>3</v>
      </c>
      <c r="G14" s="8" t="s">
        <v>9</v>
      </c>
      <c r="H14" s="8" t="s">
        <v>210</v>
      </c>
      <c r="I14" s="11" t="s">
        <v>211</v>
      </c>
      <c r="J14" s="11" t="s">
        <v>212</v>
      </c>
      <c r="K14" s="11" t="s">
        <v>213</v>
      </c>
      <c r="L14" s="11" t="s">
        <v>214</v>
      </c>
      <c r="M14" s="11" t="s">
        <v>215</v>
      </c>
      <c r="N14" s="11" t="s">
        <v>216</v>
      </c>
      <c r="O14" s="8" t="s">
        <v>217</v>
      </c>
      <c r="P14" s="8" t="s">
        <v>66</v>
      </c>
      <c r="Q14" s="11"/>
      <c r="R14" s="8" t="s">
        <v>218</v>
      </c>
      <c r="S14" s="11" t="s">
        <v>219</v>
      </c>
      <c r="T14" s="8" t="s">
        <v>220</v>
      </c>
      <c r="U14" s="11" t="s">
        <v>70</v>
      </c>
      <c r="V14" s="8" t="s">
        <v>14</v>
      </c>
      <c r="W14" s="8"/>
      <c r="X14" s="8"/>
      <c r="Y14" s="12"/>
      <c r="Z14" s="8" t="s">
        <v>71</v>
      </c>
      <c r="AA14" s="8"/>
    </row>
    <row r="15" customFormat="false" ht="120" hidden="false" customHeight="true" outlineLevel="0" collapsed="false">
      <c r="A15" s="8" t="n">
        <v>14</v>
      </c>
      <c r="B15" s="9" t="n">
        <v>46308</v>
      </c>
      <c r="C15" s="8" t="str">
        <f aca="false">TEXT(B15,"ddd")</f>
        <v>Tue</v>
      </c>
      <c r="D15" s="8" t="s">
        <v>221</v>
      </c>
      <c r="E15" s="8" t="s">
        <v>188</v>
      </c>
      <c r="F15" s="13" t="s">
        <v>4</v>
      </c>
      <c r="G15" s="8" t="s">
        <v>11</v>
      </c>
      <c r="H15" s="8" t="s">
        <v>222</v>
      </c>
      <c r="I15" s="11" t="s">
        <v>223</v>
      </c>
      <c r="J15" s="11" t="s">
        <v>224</v>
      </c>
      <c r="K15" s="11" t="s">
        <v>225</v>
      </c>
      <c r="L15" s="11" t="s">
        <v>226</v>
      </c>
      <c r="M15" s="11" t="s">
        <v>227</v>
      </c>
      <c r="N15" s="11" t="s">
        <v>228</v>
      </c>
      <c r="O15" s="8" t="s">
        <v>229</v>
      </c>
      <c r="P15" s="8" t="s">
        <v>81</v>
      </c>
      <c r="Q15" s="11"/>
      <c r="R15" s="8" t="s">
        <v>230</v>
      </c>
      <c r="S15" s="11" t="s">
        <v>231</v>
      </c>
      <c r="T15" s="8" t="s">
        <v>232</v>
      </c>
      <c r="U15" s="11" t="s">
        <v>85</v>
      </c>
      <c r="V15" s="8" t="s">
        <v>14</v>
      </c>
      <c r="W15" s="8"/>
      <c r="X15" s="8"/>
      <c r="Y15" s="12"/>
      <c r="Z15" s="8" t="s">
        <v>71</v>
      </c>
      <c r="AA15" s="8"/>
    </row>
    <row r="16" customFormat="false" ht="120" hidden="false" customHeight="true" outlineLevel="0" collapsed="false">
      <c r="A16" s="8" t="n">
        <v>15</v>
      </c>
      <c r="B16" s="9" t="n">
        <v>46309</v>
      </c>
      <c r="C16" s="8" t="str">
        <f aca="false">TEXT(B16,"ddd")</f>
        <v>Wed</v>
      </c>
      <c r="D16" s="8" t="s">
        <v>233</v>
      </c>
      <c r="E16" s="8" t="s">
        <v>57</v>
      </c>
      <c r="F16" s="13" t="s">
        <v>4</v>
      </c>
      <c r="G16" s="8" t="s">
        <v>12</v>
      </c>
      <c r="H16" s="8" t="s">
        <v>234</v>
      </c>
      <c r="I16" s="11" t="s">
        <v>235</v>
      </c>
      <c r="J16" s="11" t="s">
        <v>236</v>
      </c>
      <c r="K16" s="11" t="s">
        <v>237</v>
      </c>
      <c r="L16" s="11" t="s">
        <v>238</v>
      </c>
      <c r="M16" s="11" t="s">
        <v>239</v>
      </c>
      <c r="N16" s="11" t="s">
        <v>240</v>
      </c>
      <c r="O16" s="8" t="s">
        <v>241</v>
      </c>
      <c r="P16" s="8" t="s">
        <v>81</v>
      </c>
      <c r="Q16" s="11"/>
      <c r="R16" s="8" t="s">
        <v>242</v>
      </c>
      <c r="S16" s="11" t="s">
        <v>243</v>
      </c>
      <c r="T16" s="8" t="s">
        <v>244</v>
      </c>
      <c r="U16" s="11" t="s">
        <v>85</v>
      </c>
      <c r="V16" s="8" t="s">
        <v>14</v>
      </c>
      <c r="W16" s="8"/>
      <c r="X16" s="8"/>
      <c r="Y16" s="12"/>
      <c r="Z16" s="8" t="s">
        <v>71</v>
      </c>
      <c r="AA16" s="8"/>
    </row>
    <row r="17" customFormat="false" ht="120" hidden="false" customHeight="true" outlineLevel="0" collapsed="false">
      <c r="A17" s="8" t="n">
        <v>16</v>
      </c>
      <c r="B17" s="9" t="n">
        <v>46309</v>
      </c>
      <c r="C17" s="8" t="str">
        <f aca="false">TEXT(B17,"ddd")</f>
        <v>Wed</v>
      </c>
      <c r="D17" s="8" t="s">
        <v>128</v>
      </c>
      <c r="E17" s="8" t="s">
        <v>129</v>
      </c>
      <c r="F17" s="10" t="s">
        <v>3</v>
      </c>
      <c r="G17" s="8" t="s">
        <v>10</v>
      </c>
      <c r="H17" s="8" t="s">
        <v>245</v>
      </c>
      <c r="I17" s="11" t="s">
        <v>246</v>
      </c>
      <c r="J17" s="11" t="s">
        <v>247</v>
      </c>
      <c r="K17" s="11" t="s">
        <v>248</v>
      </c>
      <c r="L17" s="11" t="s">
        <v>249</v>
      </c>
      <c r="M17" s="11" t="s">
        <v>250</v>
      </c>
      <c r="N17" s="11" t="s">
        <v>251</v>
      </c>
      <c r="O17" s="8" t="s">
        <v>80</v>
      </c>
      <c r="P17" s="8" t="s">
        <v>66</v>
      </c>
      <c r="Q17" s="11"/>
      <c r="R17" s="8" t="s">
        <v>252</v>
      </c>
      <c r="S17" s="11" t="s">
        <v>253</v>
      </c>
      <c r="T17" s="8" t="s">
        <v>254</v>
      </c>
      <c r="U17" s="11" t="s">
        <v>70</v>
      </c>
      <c r="V17" s="8" t="s">
        <v>14</v>
      </c>
      <c r="W17" s="8"/>
      <c r="X17" s="8"/>
      <c r="Y17" s="12"/>
      <c r="Z17" s="8" t="s">
        <v>113</v>
      </c>
      <c r="AA17" s="8"/>
    </row>
    <row r="18" customFormat="false" ht="120" hidden="false" customHeight="true" outlineLevel="0" collapsed="false">
      <c r="A18" s="8" t="n">
        <v>17</v>
      </c>
      <c r="B18" s="9" t="n">
        <v>46310</v>
      </c>
      <c r="C18" s="8" t="str">
        <f aca="false">TEXT(B18,"ddd")</f>
        <v>Thu</v>
      </c>
      <c r="D18" s="8" t="s">
        <v>255</v>
      </c>
      <c r="E18" s="8" t="s">
        <v>129</v>
      </c>
      <c r="F18" s="13" t="s">
        <v>4</v>
      </c>
      <c r="G18" s="8" t="s">
        <v>10</v>
      </c>
      <c r="H18" s="8" t="s">
        <v>256</v>
      </c>
      <c r="I18" s="11" t="s">
        <v>257</v>
      </c>
      <c r="J18" s="11" t="s">
        <v>258</v>
      </c>
      <c r="K18" s="11" t="s">
        <v>259</v>
      </c>
      <c r="L18" s="11" t="s">
        <v>260</v>
      </c>
      <c r="M18" s="11" t="s">
        <v>261</v>
      </c>
      <c r="N18" s="11" t="s">
        <v>262</v>
      </c>
      <c r="O18" s="8" t="s">
        <v>263</v>
      </c>
      <c r="P18" s="8" t="s">
        <v>81</v>
      </c>
      <c r="Q18" s="11"/>
      <c r="R18" s="8" t="s">
        <v>264</v>
      </c>
      <c r="S18" s="11" t="s">
        <v>265</v>
      </c>
      <c r="T18" s="8" t="s">
        <v>266</v>
      </c>
      <c r="U18" s="11" t="s">
        <v>85</v>
      </c>
      <c r="V18" s="8" t="s">
        <v>14</v>
      </c>
      <c r="W18" s="8"/>
      <c r="X18" s="8"/>
      <c r="Y18" s="12"/>
      <c r="Z18" s="8" t="s">
        <v>113</v>
      </c>
      <c r="AA18" s="8"/>
    </row>
    <row r="19" customFormat="false" ht="120" hidden="false" customHeight="true" outlineLevel="0" collapsed="false">
      <c r="A19" s="8" t="n">
        <v>18</v>
      </c>
      <c r="B19" s="9" t="n">
        <v>46310</v>
      </c>
      <c r="C19" s="8" t="str">
        <f aca="false">TEXT(B19,"ddd")</f>
        <v>Thu</v>
      </c>
      <c r="D19" s="8" t="s">
        <v>128</v>
      </c>
      <c r="E19" s="8" t="s">
        <v>129</v>
      </c>
      <c r="F19" s="10" t="s">
        <v>3</v>
      </c>
      <c r="G19" s="8" t="s">
        <v>10</v>
      </c>
      <c r="H19" s="8" t="s">
        <v>267</v>
      </c>
      <c r="I19" s="11" t="s">
        <v>268</v>
      </c>
      <c r="J19" s="11" t="s">
        <v>269</v>
      </c>
      <c r="K19" s="11" t="s">
        <v>270</v>
      </c>
      <c r="L19" s="11" t="s">
        <v>271</v>
      </c>
      <c r="M19" s="11" t="s">
        <v>272</v>
      </c>
      <c r="N19" s="11" t="s">
        <v>273</v>
      </c>
      <c r="O19" s="8" t="s">
        <v>274</v>
      </c>
      <c r="P19" s="8" t="s">
        <v>66</v>
      </c>
      <c r="Q19" s="11"/>
      <c r="R19" s="8" t="s">
        <v>275</v>
      </c>
      <c r="S19" s="11" t="s">
        <v>276</v>
      </c>
      <c r="T19" s="8" t="s">
        <v>277</v>
      </c>
      <c r="U19" s="11" t="s">
        <v>70</v>
      </c>
      <c r="V19" s="8" t="s">
        <v>14</v>
      </c>
      <c r="W19" s="8"/>
      <c r="X19" s="8"/>
      <c r="Y19" s="12"/>
      <c r="Z19" s="8" t="s">
        <v>71</v>
      </c>
      <c r="AA19" s="8"/>
    </row>
    <row r="20" customFormat="false" ht="120" hidden="false" customHeight="true" outlineLevel="0" collapsed="false">
      <c r="A20" s="8" t="n">
        <v>19</v>
      </c>
      <c r="B20" s="9" t="n">
        <v>46311</v>
      </c>
      <c r="C20" s="8" t="str">
        <f aca="false">TEXT(B20,"ddd")</f>
        <v>Fri</v>
      </c>
      <c r="D20" s="8" t="s">
        <v>56</v>
      </c>
      <c r="E20" s="8" t="s">
        <v>57</v>
      </c>
      <c r="F20" s="13" t="s">
        <v>4</v>
      </c>
      <c r="G20" s="8" t="s">
        <v>9</v>
      </c>
      <c r="H20" s="8" t="s">
        <v>278</v>
      </c>
      <c r="I20" s="11" t="s">
        <v>279</v>
      </c>
      <c r="J20" s="11" t="s">
        <v>280</v>
      </c>
      <c r="K20" s="11" t="s">
        <v>281</v>
      </c>
      <c r="L20" s="11" t="s">
        <v>282</v>
      </c>
      <c r="M20" s="11" t="s">
        <v>283</v>
      </c>
      <c r="N20" s="11" t="s">
        <v>284</v>
      </c>
      <c r="O20" s="8" t="s">
        <v>285</v>
      </c>
      <c r="P20" s="8" t="s">
        <v>81</v>
      </c>
      <c r="Q20" s="11"/>
      <c r="R20" s="8" t="s">
        <v>286</v>
      </c>
      <c r="S20" s="11" t="s">
        <v>287</v>
      </c>
      <c r="T20" s="8" t="s">
        <v>288</v>
      </c>
      <c r="U20" s="11" t="s">
        <v>85</v>
      </c>
      <c r="V20" s="8" t="s">
        <v>14</v>
      </c>
      <c r="W20" s="8"/>
      <c r="X20" s="8"/>
      <c r="Y20" s="12"/>
      <c r="Z20" s="8" t="s">
        <v>71</v>
      </c>
      <c r="AA20" s="8"/>
    </row>
    <row r="21" customFormat="false" ht="120" hidden="false" customHeight="true" outlineLevel="0" collapsed="false">
      <c r="A21" s="8" t="n">
        <v>20</v>
      </c>
      <c r="B21" s="9" t="n">
        <v>46311</v>
      </c>
      <c r="C21" s="8" t="str">
        <f aca="false">TEXT(B21,"ddd")</f>
        <v>Fri</v>
      </c>
      <c r="D21" s="8" t="s">
        <v>221</v>
      </c>
      <c r="E21" s="8" t="s">
        <v>188</v>
      </c>
      <c r="F21" s="10" t="s">
        <v>3</v>
      </c>
      <c r="G21" s="8" t="s">
        <v>11</v>
      </c>
      <c r="H21" s="8" t="s">
        <v>289</v>
      </c>
      <c r="I21" s="11" t="s">
        <v>290</v>
      </c>
      <c r="J21" s="11" t="s">
        <v>291</v>
      </c>
      <c r="K21" s="11" t="s">
        <v>292</v>
      </c>
      <c r="L21" s="11" t="s">
        <v>293</v>
      </c>
      <c r="M21" s="11" t="s">
        <v>294</v>
      </c>
      <c r="N21" s="11" t="s">
        <v>295</v>
      </c>
      <c r="O21" s="8" t="s">
        <v>296</v>
      </c>
      <c r="P21" s="8" t="s">
        <v>66</v>
      </c>
      <c r="Q21" s="11"/>
      <c r="R21" s="8" t="s">
        <v>297</v>
      </c>
      <c r="S21" s="11" t="s">
        <v>298</v>
      </c>
      <c r="T21" s="8" t="s">
        <v>299</v>
      </c>
      <c r="U21" s="11" t="s">
        <v>70</v>
      </c>
      <c r="V21" s="8" t="s">
        <v>14</v>
      </c>
      <c r="W21" s="8"/>
      <c r="X21" s="8"/>
      <c r="Y21" s="12"/>
      <c r="Z21" s="8" t="s">
        <v>71</v>
      </c>
      <c r="AA21" s="8"/>
    </row>
    <row r="22" customFormat="false" ht="120" hidden="false" customHeight="true" outlineLevel="0" collapsed="false">
      <c r="A22" s="8" t="n">
        <v>21</v>
      </c>
      <c r="B22" s="9" t="n">
        <v>46312</v>
      </c>
      <c r="C22" s="8" t="str">
        <f aca="false">TEXT(B22,"ddd")</f>
        <v>Sat</v>
      </c>
      <c r="D22" s="8" t="s">
        <v>255</v>
      </c>
      <c r="E22" s="8" t="s">
        <v>129</v>
      </c>
      <c r="F22" s="14" t="s">
        <v>5</v>
      </c>
      <c r="G22" s="8" t="s">
        <v>10</v>
      </c>
      <c r="H22" s="8" t="s">
        <v>300</v>
      </c>
      <c r="I22" s="11" t="s">
        <v>301</v>
      </c>
      <c r="J22" s="11" t="s">
        <v>302</v>
      </c>
      <c r="K22" s="11" t="s">
        <v>303</v>
      </c>
      <c r="L22" s="11" t="s">
        <v>304</v>
      </c>
      <c r="M22" s="11" t="s">
        <v>305</v>
      </c>
      <c r="N22" s="11" t="s">
        <v>306</v>
      </c>
      <c r="O22" s="8" t="s">
        <v>147</v>
      </c>
      <c r="P22" s="8" t="s">
        <v>122</v>
      </c>
      <c r="Q22" s="11" t="s">
        <v>307</v>
      </c>
      <c r="R22" s="8" t="s">
        <v>308</v>
      </c>
      <c r="S22" s="11" t="s">
        <v>309</v>
      </c>
      <c r="T22" s="8" t="s">
        <v>310</v>
      </c>
      <c r="U22" s="11" t="s">
        <v>127</v>
      </c>
      <c r="V22" s="8" t="s">
        <v>14</v>
      </c>
      <c r="W22" s="8"/>
      <c r="X22" s="8"/>
      <c r="Y22" s="12"/>
      <c r="Z22" s="8" t="s">
        <v>71</v>
      </c>
      <c r="AA22" s="8"/>
    </row>
    <row r="23" customFormat="false" ht="120" hidden="false" customHeight="true" outlineLevel="0" collapsed="false">
      <c r="A23" s="8" t="n">
        <v>22</v>
      </c>
      <c r="B23" s="9" t="n">
        <v>46312</v>
      </c>
      <c r="C23" s="8" t="str">
        <f aca="false">TEXT(B23,"ddd")</f>
        <v>Sat</v>
      </c>
      <c r="D23" s="8" t="s">
        <v>101</v>
      </c>
      <c r="E23" s="8" t="s">
        <v>57</v>
      </c>
      <c r="F23" s="10" t="s">
        <v>3</v>
      </c>
      <c r="G23" s="8" t="s">
        <v>12</v>
      </c>
      <c r="H23" s="8" t="s">
        <v>311</v>
      </c>
      <c r="I23" s="11" t="s">
        <v>312</v>
      </c>
      <c r="J23" s="11" t="s">
        <v>313</v>
      </c>
      <c r="K23" s="11" t="s">
        <v>314</v>
      </c>
      <c r="L23" s="11" t="s">
        <v>315</v>
      </c>
      <c r="M23" s="11" t="s">
        <v>316</v>
      </c>
      <c r="N23" s="11" t="s">
        <v>317</v>
      </c>
      <c r="O23" s="8" t="s">
        <v>263</v>
      </c>
      <c r="P23" s="8" t="s">
        <v>66</v>
      </c>
      <c r="Q23" s="11"/>
      <c r="R23" s="8" t="s">
        <v>318</v>
      </c>
      <c r="S23" s="11" t="s">
        <v>319</v>
      </c>
      <c r="T23" s="8" t="s">
        <v>320</v>
      </c>
      <c r="U23" s="11" t="s">
        <v>70</v>
      </c>
      <c r="V23" s="8" t="s">
        <v>14</v>
      </c>
      <c r="W23" s="8"/>
      <c r="X23" s="8"/>
      <c r="Y23" s="12"/>
      <c r="Z23" s="8" t="s">
        <v>71</v>
      </c>
      <c r="AA23" s="8"/>
    </row>
    <row r="24" customFormat="false" ht="120" hidden="false" customHeight="true" outlineLevel="0" collapsed="false">
      <c r="A24" s="8" t="n">
        <v>23</v>
      </c>
      <c r="B24" s="9" t="n">
        <v>46313</v>
      </c>
      <c r="C24" s="8" t="str">
        <f aca="false">TEXT(B24,"ddd")</f>
        <v>Sun</v>
      </c>
      <c r="D24" s="8" t="s">
        <v>56</v>
      </c>
      <c r="E24" s="8" t="s">
        <v>57</v>
      </c>
      <c r="F24" s="10" t="s">
        <v>3</v>
      </c>
      <c r="G24" s="8" t="s">
        <v>9</v>
      </c>
      <c r="H24" s="8" t="s">
        <v>321</v>
      </c>
      <c r="I24" s="11" t="s">
        <v>322</v>
      </c>
      <c r="J24" s="11" t="s">
        <v>323</v>
      </c>
      <c r="K24" s="11" t="s">
        <v>324</v>
      </c>
      <c r="L24" s="11" t="s">
        <v>325</v>
      </c>
      <c r="M24" s="11" t="s">
        <v>326</v>
      </c>
      <c r="N24" s="11" t="s">
        <v>327</v>
      </c>
      <c r="O24" s="8" t="s">
        <v>274</v>
      </c>
      <c r="P24" s="8" t="s">
        <v>66</v>
      </c>
      <c r="Q24" s="11"/>
      <c r="R24" s="8" t="s">
        <v>328</v>
      </c>
      <c r="S24" s="11" t="s">
        <v>329</v>
      </c>
      <c r="T24" s="8" t="s">
        <v>330</v>
      </c>
      <c r="U24" s="11" t="s">
        <v>70</v>
      </c>
      <c r="V24" s="8" t="s">
        <v>14</v>
      </c>
      <c r="W24" s="8"/>
      <c r="X24" s="8"/>
      <c r="Y24" s="12"/>
      <c r="Z24" s="8" t="s">
        <v>71</v>
      </c>
      <c r="AA24" s="8"/>
    </row>
    <row r="25" customFormat="false" ht="120" hidden="false" customHeight="true" outlineLevel="0" collapsed="false">
      <c r="A25" s="8" t="n">
        <v>24</v>
      </c>
      <c r="B25" s="9" t="n">
        <v>46313</v>
      </c>
      <c r="C25" s="8" t="str">
        <f aca="false">TEXT(B25,"ddd")</f>
        <v>Sun</v>
      </c>
      <c r="D25" s="8" t="s">
        <v>128</v>
      </c>
      <c r="E25" s="8" t="s">
        <v>129</v>
      </c>
      <c r="F25" s="13" t="s">
        <v>4</v>
      </c>
      <c r="G25" s="8" t="s">
        <v>10</v>
      </c>
      <c r="H25" s="8" t="s">
        <v>331</v>
      </c>
      <c r="I25" s="11" t="s">
        <v>332</v>
      </c>
      <c r="J25" s="11" t="s">
        <v>333</v>
      </c>
      <c r="K25" s="11" t="s">
        <v>334</v>
      </c>
      <c r="L25" s="11" t="s">
        <v>335</v>
      </c>
      <c r="M25" s="11" t="s">
        <v>336</v>
      </c>
      <c r="N25" s="11" t="s">
        <v>337</v>
      </c>
      <c r="O25" s="8" t="s">
        <v>274</v>
      </c>
      <c r="P25" s="8" t="s">
        <v>81</v>
      </c>
      <c r="Q25" s="11"/>
      <c r="R25" s="8" t="s">
        <v>338</v>
      </c>
      <c r="S25" s="11" t="s">
        <v>339</v>
      </c>
      <c r="T25" s="8" t="s">
        <v>340</v>
      </c>
      <c r="U25" s="11" t="s">
        <v>85</v>
      </c>
      <c r="V25" s="8" t="s">
        <v>14</v>
      </c>
      <c r="W25" s="8"/>
      <c r="X25" s="8"/>
      <c r="Y25" s="12"/>
      <c r="Z25" s="8" t="s">
        <v>71</v>
      </c>
      <c r="AA25" s="8"/>
    </row>
    <row r="26" customFormat="false" ht="120" hidden="false" customHeight="true" outlineLevel="0" collapsed="false">
      <c r="A26" s="8" t="n">
        <v>25</v>
      </c>
      <c r="B26" s="9" t="n">
        <v>46314</v>
      </c>
      <c r="C26" s="8" t="str">
        <f aca="false">TEXT(B26,"ddd")</f>
        <v>Mon</v>
      </c>
      <c r="D26" s="8" t="s">
        <v>56</v>
      </c>
      <c r="E26" s="8" t="s">
        <v>57</v>
      </c>
      <c r="F26" s="10" t="s">
        <v>3</v>
      </c>
      <c r="G26" s="8" t="s">
        <v>9</v>
      </c>
      <c r="H26" s="8" t="s">
        <v>163</v>
      </c>
      <c r="I26" s="11" t="s">
        <v>341</v>
      </c>
      <c r="J26" s="11" t="s">
        <v>342</v>
      </c>
      <c r="K26" s="11" t="s">
        <v>343</v>
      </c>
      <c r="L26" s="11" t="s">
        <v>344</v>
      </c>
      <c r="M26" s="11" t="s">
        <v>345</v>
      </c>
      <c r="N26" s="11" t="s">
        <v>346</v>
      </c>
      <c r="O26" s="8" t="s">
        <v>347</v>
      </c>
      <c r="P26" s="8" t="s">
        <v>66</v>
      </c>
      <c r="Q26" s="11"/>
      <c r="R26" s="8" t="s">
        <v>159</v>
      </c>
      <c r="S26" s="11" t="s">
        <v>83</v>
      </c>
      <c r="T26" s="8" t="s">
        <v>348</v>
      </c>
      <c r="U26" s="11" t="s">
        <v>70</v>
      </c>
      <c r="V26" s="8" t="s">
        <v>14</v>
      </c>
      <c r="W26" s="8"/>
      <c r="X26" s="8" t="s">
        <v>161</v>
      </c>
      <c r="Y26" s="12" t="s">
        <v>162</v>
      </c>
      <c r="Z26" s="8" t="s">
        <v>150</v>
      </c>
      <c r="AA26" s="8" t="s">
        <v>151</v>
      </c>
    </row>
    <row r="27" customFormat="false" ht="120" hidden="false" customHeight="true" outlineLevel="0" collapsed="false">
      <c r="A27" s="8" t="n">
        <v>26</v>
      </c>
      <c r="B27" s="9" t="n">
        <v>46314</v>
      </c>
      <c r="C27" s="8" t="str">
        <f aca="false">TEXT(B27,"ddd")</f>
        <v>Mon</v>
      </c>
      <c r="D27" s="8" t="s">
        <v>72</v>
      </c>
      <c r="E27" s="8" t="s">
        <v>57</v>
      </c>
      <c r="F27" s="13" t="s">
        <v>4</v>
      </c>
      <c r="G27" s="8" t="s">
        <v>9</v>
      </c>
      <c r="H27" s="8" t="s">
        <v>349</v>
      </c>
      <c r="I27" s="11" t="s">
        <v>350</v>
      </c>
      <c r="J27" s="11" t="s">
        <v>351</v>
      </c>
      <c r="K27" s="11" t="s">
        <v>352</v>
      </c>
      <c r="L27" s="11" t="s">
        <v>353</v>
      </c>
      <c r="M27" s="11" t="s">
        <v>354</v>
      </c>
      <c r="N27" s="11" t="s">
        <v>355</v>
      </c>
      <c r="O27" s="8" t="s">
        <v>356</v>
      </c>
      <c r="P27" s="8" t="s">
        <v>81</v>
      </c>
      <c r="Q27" s="11"/>
      <c r="R27" s="8" t="s">
        <v>357</v>
      </c>
      <c r="S27" s="11" t="s">
        <v>83</v>
      </c>
      <c r="T27" s="8" t="s">
        <v>358</v>
      </c>
      <c r="U27" s="11" t="s">
        <v>85</v>
      </c>
      <c r="V27" s="8" t="s">
        <v>14</v>
      </c>
      <c r="W27" s="8"/>
      <c r="X27" s="8" t="s">
        <v>359</v>
      </c>
      <c r="Y27" s="12" t="s">
        <v>360</v>
      </c>
      <c r="Z27" s="8" t="s">
        <v>88</v>
      </c>
      <c r="AA27" s="8" t="s">
        <v>361</v>
      </c>
    </row>
    <row r="28" customFormat="false" ht="120" hidden="false" customHeight="true" outlineLevel="0" collapsed="false">
      <c r="A28" s="8" t="n">
        <v>27</v>
      </c>
      <c r="B28" s="9" t="n">
        <v>46315</v>
      </c>
      <c r="C28" s="8" t="str">
        <f aca="false">TEXT(B28,"ddd")</f>
        <v>Tue</v>
      </c>
      <c r="D28" s="8" t="s">
        <v>56</v>
      </c>
      <c r="E28" s="8" t="s">
        <v>57</v>
      </c>
      <c r="F28" s="10" t="s">
        <v>3</v>
      </c>
      <c r="G28" s="8" t="s">
        <v>9</v>
      </c>
      <c r="H28" s="8" t="s">
        <v>362</v>
      </c>
      <c r="I28" s="11" t="s">
        <v>363</v>
      </c>
      <c r="J28" s="11" t="s">
        <v>364</v>
      </c>
      <c r="K28" s="11" t="s">
        <v>365</v>
      </c>
      <c r="L28" s="11" t="s">
        <v>366</v>
      </c>
      <c r="M28" s="11" t="s">
        <v>367</v>
      </c>
      <c r="N28" s="11" t="s">
        <v>368</v>
      </c>
      <c r="O28" s="8" t="s">
        <v>369</v>
      </c>
      <c r="P28" s="8" t="s">
        <v>66</v>
      </c>
      <c r="Q28" s="11"/>
      <c r="R28" s="8" t="s">
        <v>370</v>
      </c>
      <c r="S28" s="11" t="s">
        <v>173</v>
      </c>
      <c r="T28" s="8" t="s">
        <v>371</v>
      </c>
      <c r="U28" s="11" t="s">
        <v>70</v>
      </c>
      <c r="V28" s="8" t="s">
        <v>14</v>
      </c>
      <c r="W28" s="8"/>
      <c r="X28" s="8" t="s">
        <v>161</v>
      </c>
      <c r="Y28" s="12" t="s">
        <v>162</v>
      </c>
      <c r="Z28" s="8" t="s">
        <v>175</v>
      </c>
      <c r="AA28" s="8"/>
    </row>
    <row r="29" customFormat="false" ht="120" hidden="false" customHeight="true" outlineLevel="0" collapsed="false">
      <c r="A29" s="8" t="n">
        <v>28</v>
      </c>
      <c r="B29" s="9" t="n">
        <v>46315</v>
      </c>
      <c r="C29" s="8" t="str">
        <f aca="false">TEXT(B29,"ddd")</f>
        <v>Tue</v>
      </c>
      <c r="D29" s="8" t="s">
        <v>128</v>
      </c>
      <c r="E29" s="8" t="s">
        <v>129</v>
      </c>
      <c r="F29" s="10" t="s">
        <v>3</v>
      </c>
      <c r="G29" s="8" t="s">
        <v>10</v>
      </c>
      <c r="H29" s="8" t="s">
        <v>372</v>
      </c>
      <c r="I29" s="11" t="s">
        <v>373</v>
      </c>
      <c r="J29" s="11" t="s">
        <v>374</v>
      </c>
      <c r="K29" s="11" t="s">
        <v>375</v>
      </c>
      <c r="L29" s="11" t="s">
        <v>376</v>
      </c>
      <c r="M29" s="11" t="s">
        <v>377</v>
      </c>
      <c r="N29" s="11" t="s">
        <v>378</v>
      </c>
      <c r="O29" s="8" t="s">
        <v>379</v>
      </c>
      <c r="P29" s="8" t="s">
        <v>66</v>
      </c>
      <c r="Q29" s="11"/>
      <c r="R29" s="8" t="s">
        <v>380</v>
      </c>
      <c r="S29" s="11" t="s">
        <v>381</v>
      </c>
      <c r="T29" s="8" t="s">
        <v>382</v>
      </c>
      <c r="U29" s="11" t="s">
        <v>70</v>
      </c>
      <c r="V29" s="8" t="s">
        <v>14</v>
      </c>
      <c r="W29" s="8"/>
      <c r="X29" s="8"/>
      <c r="Y29" s="12"/>
      <c r="Z29" s="8" t="s">
        <v>71</v>
      </c>
      <c r="AA29" s="8"/>
    </row>
    <row r="30" customFormat="false" ht="120" hidden="false" customHeight="true" outlineLevel="0" collapsed="false">
      <c r="A30" s="8" t="n">
        <v>29</v>
      </c>
      <c r="B30" s="9" t="n">
        <v>46316</v>
      </c>
      <c r="C30" s="8" t="str">
        <f aca="false">TEXT(B30,"ddd")</f>
        <v>Wed</v>
      </c>
      <c r="D30" s="8" t="s">
        <v>187</v>
      </c>
      <c r="E30" s="8" t="s">
        <v>188</v>
      </c>
      <c r="F30" s="13" t="s">
        <v>4</v>
      </c>
      <c r="G30" s="8" t="s">
        <v>11</v>
      </c>
      <c r="H30" s="8" t="s">
        <v>383</v>
      </c>
      <c r="I30" s="11" t="s">
        <v>384</v>
      </c>
      <c r="J30" s="11" t="s">
        <v>385</v>
      </c>
      <c r="K30" s="11" t="s">
        <v>386</v>
      </c>
      <c r="L30" s="11" t="s">
        <v>387</v>
      </c>
      <c r="M30" s="11" t="s">
        <v>388</v>
      </c>
      <c r="N30" s="11" t="s">
        <v>389</v>
      </c>
      <c r="O30" s="8" t="s">
        <v>390</v>
      </c>
      <c r="P30" s="8" t="s">
        <v>81</v>
      </c>
      <c r="Q30" s="11"/>
      <c r="R30" s="8" t="s">
        <v>391</v>
      </c>
      <c r="S30" s="11" t="s">
        <v>392</v>
      </c>
      <c r="T30" s="8" t="s">
        <v>393</v>
      </c>
      <c r="U30" s="11" t="s">
        <v>85</v>
      </c>
      <c r="V30" s="8" t="s">
        <v>14</v>
      </c>
      <c r="W30" s="8"/>
      <c r="X30" s="8"/>
      <c r="Y30" s="12"/>
      <c r="Z30" s="8" t="s">
        <v>71</v>
      </c>
      <c r="AA30" s="8"/>
    </row>
    <row r="31" customFormat="false" ht="120" hidden="false" customHeight="true" outlineLevel="0" collapsed="false">
      <c r="A31" s="8" t="n">
        <v>30</v>
      </c>
      <c r="B31" s="9" t="n">
        <v>46316</v>
      </c>
      <c r="C31" s="8" t="str">
        <f aca="false">TEXT(B31,"ddd")</f>
        <v>Wed</v>
      </c>
      <c r="D31" s="8" t="s">
        <v>128</v>
      </c>
      <c r="E31" s="8" t="s">
        <v>129</v>
      </c>
      <c r="F31" s="13" t="s">
        <v>4</v>
      </c>
      <c r="G31" s="8" t="s">
        <v>10</v>
      </c>
      <c r="H31" s="8" t="s">
        <v>394</v>
      </c>
      <c r="I31" s="11" t="s">
        <v>395</v>
      </c>
      <c r="J31" s="11" t="s">
        <v>396</v>
      </c>
      <c r="K31" s="11" t="s">
        <v>397</v>
      </c>
      <c r="L31" s="11" t="s">
        <v>398</v>
      </c>
      <c r="M31" s="11" t="s">
        <v>399</v>
      </c>
      <c r="N31" s="11" t="s">
        <v>400</v>
      </c>
      <c r="O31" s="8" t="s">
        <v>183</v>
      </c>
      <c r="P31" s="8" t="s">
        <v>81</v>
      </c>
      <c r="Q31" s="11"/>
      <c r="R31" s="8" t="s">
        <v>401</v>
      </c>
      <c r="S31" s="11" t="s">
        <v>402</v>
      </c>
      <c r="T31" s="8" t="s">
        <v>403</v>
      </c>
      <c r="U31" s="11" t="s">
        <v>85</v>
      </c>
      <c r="V31" s="8" t="s">
        <v>14</v>
      </c>
      <c r="W31" s="8"/>
      <c r="X31" s="8" t="s">
        <v>404</v>
      </c>
      <c r="Y31" s="12" t="s">
        <v>405</v>
      </c>
      <c r="Z31" s="8" t="s">
        <v>88</v>
      </c>
      <c r="AA31" s="8" t="s">
        <v>406</v>
      </c>
    </row>
    <row r="32" customFormat="false" ht="120" hidden="false" customHeight="true" outlineLevel="0" collapsed="false">
      <c r="A32" s="8" t="n">
        <v>31</v>
      </c>
      <c r="B32" s="9" t="n">
        <v>46317</v>
      </c>
      <c r="C32" s="8" t="str">
        <f aca="false">TEXT(B32,"ddd")</f>
        <v>Thu</v>
      </c>
      <c r="D32" s="8" t="s">
        <v>187</v>
      </c>
      <c r="E32" s="8" t="s">
        <v>188</v>
      </c>
      <c r="F32" s="10" t="s">
        <v>3</v>
      </c>
      <c r="G32" s="8" t="s">
        <v>11</v>
      </c>
      <c r="H32" s="8" t="s">
        <v>407</v>
      </c>
      <c r="I32" s="11" t="s">
        <v>408</v>
      </c>
      <c r="J32" s="11" t="s">
        <v>409</v>
      </c>
      <c r="K32" s="11" t="s">
        <v>410</v>
      </c>
      <c r="L32" s="11" t="s">
        <v>411</v>
      </c>
      <c r="M32" s="11" t="s">
        <v>412</v>
      </c>
      <c r="N32" s="11" t="s">
        <v>413</v>
      </c>
      <c r="O32" s="8" t="s">
        <v>414</v>
      </c>
      <c r="P32" s="8" t="s">
        <v>66</v>
      </c>
      <c r="Q32" s="11"/>
      <c r="R32" s="8" t="s">
        <v>415</v>
      </c>
      <c r="S32" s="11" t="s">
        <v>416</v>
      </c>
      <c r="T32" s="8" t="s">
        <v>417</v>
      </c>
      <c r="U32" s="11" t="s">
        <v>70</v>
      </c>
      <c r="V32" s="8" t="s">
        <v>14</v>
      </c>
      <c r="W32" s="8"/>
      <c r="X32" s="8"/>
      <c r="Y32" s="12"/>
      <c r="Z32" s="8" t="s">
        <v>71</v>
      </c>
      <c r="AA32" s="8"/>
    </row>
    <row r="33" customFormat="false" ht="120" hidden="false" customHeight="true" outlineLevel="0" collapsed="false">
      <c r="A33" s="8" t="n">
        <v>32</v>
      </c>
      <c r="B33" s="9" t="n">
        <v>46317</v>
      </c>
      <c r="C33" s="8" t="str">
        <f aca="false">TEXT(B33,"ddd")</f>
        <v>Thu</v>
      </c>
      <c r="D33" s="8" t="s">
        <v>101</v>
      </c>
      <c r="E33" s="8" t="s">
        <v>57</v>
      </c>
      <c r="F33" s="13" t="s">
        <v>4</v>
      </c>
      <c r="G33" s="8" t="s">
        <v>12</v>
      </c>
      <c r="H33" s="8" t="s">
        <v>418</v>
      </c>
      <c r="I33" s="11" t="s">
        <v>419</v>
      </c>
      <c r="J33" s="11" t="s">
        <v>420</v>
      </c>
      <c r="K33" s="11" t="s">
        <v>421</v>
      </c>
      <c r="L33" s="11" t="s">
        <v>422</v>
      </c>
      <c r="M33" s="11" t="s">
        <v>423</v>
      </c>
      <c r="N33" s="11" t="s">
        <v>424</v>
      </c>
      <c r="O33" s="8" t="s">
        <v>425</v>
      </c>
      <c r="P33" s="8" t="s">
        <v>81</v>
      </c>
      <c r="Q33" s="11"/>
      <c r="R33" s="8" t="s">
        <v>426</v>
      </c>
      <c r="S33" s="11" t="s">
        <v>427</v>
      </c>
      <c r="T33" s="8" t="s">
        <v>428</v>
      </c>
      <c r="U33" s="11" t="s">
        <v>85</v>
      </c>
      <c r="V33" s="8" t="s">
        <v>14</v>
      </c>
      <c r="W33" s="8"/>
      <c r="X33" s="8"/>
      <c r="Y33" s="12"/>
      <c r="Z33" s="8" t="s">
        <v>71</v>
      </c>
      <c r="AA33" s="8"/>
    </row>
    <row r="34" customFormat="false" ht="120" hidden="false" customHeight="true" outlineLevel="0" collapsed="false">
      <c r="A34" s="8" t="n">
        <v>33</v>
      </c>
      <c r="B34" s="9" t="n">
        <v>46318</v>
      </c>
      <c r="C34" s="8" t="str">
        <f aca="false">TEXT(B34,"ddd")</f>
        <v>Fri</v>
      </c>
      <c r="D34" s="8" t="s">
        <v>56</v>
      </c>
      <c r="E34" s="8" t="s">
        <v>57</v>
      </c>
      <c r="F34" s="10" t="s">
        <v>3</v>
      </c>
      <c r="G34" s="8" t="s">
        <v>9</v>
      </c>
      <c r="H34" s="8" t="s">
        <v>429</v>
      </c>
      <c r="I34" s="11" t="s">
        <v>430</v>
      </c>
      <c r="J34" s="11" t="s">
        <v>431</v>
      </c>
      <c r="K34" s="11" t="s">
        <v>432</v>
      </c>
      <c r="L34" s="11" t="s">
        <v>433</v>
      </c>
      <c r="M34" s="11" t="s">
        <v>434</v>
      </c>
      <c r="N34" s="11" t="s">
        <v>435</v>
      </c>
      <c r="O34" s="8" t="s">
        <v>436</v>
      </c>
      <c r="P34" s="8" t="s">
        <v>66</v>
      </c>
      <c r="Q34" s="11"/>
      <c r="R34" s="8" t="s">
        <v>437</v>
      </c>
      <c r="S34" s="11" t="s">
        <v>438</v>
      </c>
      <c r="T34" s="8" t="s">
        <v>439</v>
      </c>
      <c r="U34" s="11" t="s">
        <v>70</v>
      </c>
      <c r="V34" s="8" t="s">
        <v>14</v>
      </c>
      <c r="W34" s="8"/>
      <c r="X34" s="8"/>
      <c r="Y34" s="12"/>
      <c r="Z34" s="8" t="s">
        <v>71</v>
      </c>
      <c r="AA34" s="8"/>
    </row>
    <row r="35" customFormat="false" ht="120" hidden="false" customHeight="true" outlineLevel="0" collapsed="false">
      <c r="A35" s="8" t="n">
        <v>34</v>
      </c>
      <c r="B35" s="9" t="n">
        <v>46318</v>
      </c>
      <c r="C35" s="8" t="str">
        <f aca="false">TEXT(B35,"ddd")</f>
        <v>Fri</v>
      </c>
      <c r="D35" s="8" t="s">
        <v>221</v>
      </c>
      <c r="E35" s="8" t="s">
        <v>188</v>
      </c>
      <c r="F35" s="14" t="s">
        <v>5</v>
      </c>
      <c r="G35" s="8" t="s">
        <v>11</v>
      </c>
      <c r="H35" s="8" t="s">
        <v>440</v>
      </c>
      <c r="I35" s="11" t="s">
        <v>441</v>
      </c>
      <c r="J35" s="11" t="s">
        <v>442</v>
      </c>
      <c r="K35" s="11" t="s">
        <v>443</v>
      </c>
      <c r="L35" s="11" t="s">
        <v>444</v>
      </c>
      <c r="M35" s="11" t="s">
        <v>445</v>
      </c>
      <c r="N35" s="11" t="s">
        <v>446</v>
      </c>
      <c r="O35" s="8" t="s">
        <v>447</v>
      </c>
      <c r="P35" s="8" t="s">
        <v>122</v>
      </c>
      <c r="Q35" s="11" t="s">
        <v>448</v>
      </c>
      <c r="R35" s="8" t="s">
        <v>449</v>
      </c>
      <c r="S35" s="11" t="s">
        <v>450</v>
      </c>
      <c r="T35" s="8" t="s">
        <v>451</v>
      </c>
      <c r="U35" s="11" t="s">
        <v>127</v>
      </c>
      <c r="V35" s="8" t="s">
        <v>14</v>
      </c>
      <c r="W35" s="8"/>
      <c r="X35" s="8"/>
      <c r="Y35" s="12"/>
      <c r="Z35" s="8" t="s">
        <v>71</v>
      </c>
      <c r="AA35" s="8"/>
    </row>
    <row r="36" customFormat="false" ht="120" hidden="false" customHeight="true" outlineLevel="0" collapsed="false">
      <c r="A36" s="8" t="n">
        <v>35</v>
      </c>
      <c r="B36" s="9" t="n">
        <v>46319</v>
      </c>
      <c r="C36" s="8" t="str">
        <f aca="false">TEXT(B36,"ddd")</f>
        <v>Sat</v>
      </c>
      <c r="D36" s="8" t="s">
        <v>56</v>
      </c>
      <c r="E36" s="8" t="s">
        <v>57</v>
      </c>
      <c r="F36" s="13" t="s">
        <v>4</v>
      </c>
      <c r="G36" s="8" t="s">
        <v>9</v>
      </c>
      <c r="H36" s="8" t="s">
        <v>452</v>
      </c>
      <c r="I36" s="11" t="s">
        <v>453</v>
      </c>
      <c r="J36" s="11" t="s">
        <v>454</v>
      </c>
      <c r="K36" s="11" t="s">
        <v>455</v>
      </c>
      <c r="L36" s="11" t="s">
        <v>456</v>
      </c>
      <c r="M36" s="11" t="s">
        <v>457</v>
      </c>
      <c r="N36" s="11" t="s">
        <v>458</v>
      </c>
      <c r="O36" s="8" t="s">
        <v>459</v>
      </c>
      <c r="P36" s="8" t="s">
        <v>81</v>
      </c>
      <c r="Q36" s="11"/>
      <c r="R36" s="8" t="s">
        <v>460</v>
      </c>
      <c r="S36" s="11" t="s">
        <v>461</v>
      </c>
      <c r="T36" s="8" t="s">
        <v>462</v>
      </c>
      <c r="U36" s="11" t="s">
        <v>85</v>
      </c>
      <c r="V36" s="8" t="s">
        <v>14</v>
      </c>
      <c r="W36" s="8"/>
      <c r="X36" s="8"/>
      <c r="Y36" s="12"/>
      <c r="Z36" s="8" t="s">
        <v>71</v>
      </c>
      <c r="AA36" s="8"/>
    </row>
    <row r="37" customFormat="false" ht="120" hidden="false" customHeight="true" outlineLevel="0" collapsed="false">
      <c r="A37" s="8" t="n">
        <v>36</v>
      </c>
      <c r="B37" s="9" t="n">
        <v>46319</v>
      </c>
      <c r="C37" s="8" t="str">
        <f aca="false">TEXT(B37,"ddd")</f>
        <v>Sat</v>
      </c>
      <c r="D37" s="8" t="s">
        <v>128</v>
      </c>
      <c r="E37" s="8" t="s">
        <v>129</v>
      </c>
      <c r="F37" s="10" t="s">
        <v>3</v>
      </c>
      <c r="G37" s="8" t="s">
        <v>10</v>
      </c>
      <c r="H37" s="8" t="s">
        <v>463</v>
      </c>
      <c r="I37" s="11" t="s">
        <v>464</v>
      </c>
      <c r="J37" s="11" t="s">
        <v>465</v>
      </c>
      <c r="K37" s="11" t="s">
        <v>466</v>
      </c>
      <c r="L37" s="11" t="s">
        <v>467</v>
      </c>
      <c r="M37" s="11" t="s">
        <v>468</v>
      </c>
      <c r="N37" s="11" t="s">
        <v>469</v>
      </c>
      <c r="O37" s="8" t="s">
        <v>147</v>
      </c>
      <c r="P37" s="8" t="s">
        <v>66</v>
      </c>
      <c r="Q37" s="11"/>
      <c r="R37" s="8" t="s">
        <v>470</v>
      </c>
      <c r="S37" s="11" t="s">
        <v>471</v>
      </c>
      <c r="T37" s="8" t="s">
        <v>472</v>
      </c>
      <c r="U37" s="11" t="s">
        <v>70</v>
      </c>
      <c r="V37" s="8" t="s">
        <v>14</v>
      </c>
      <c r="W37" s="8"/>
      <c r="X37" s="8"/>
      <c r="Y37" s="12"/>
      <c r="Z37" s="8" t="s">
        <v>71</v>
      </c>
      <c r="AA37" s="8"/>
    </row>
    <row r="38" customFormat="false" ht="120" hidden="false" customHeight="true" outlineLevel="0" collapsed="false">
      <c r="A38" s="8" t="n">
        <v>37</v>
      </c>
      <c r="B38" s="9" t="n">
        <v>46320</v>
      </c>
      <c r="C38" s="8" t="str">
        <f aca="false">TEXT(B38,"ddd")</f>
        <v>Sun</v>
      </c>
      <c r="D38" s="8" t="s">
        <v>255</v>
      </c>
      <c r="E38" s="8" t="s">
        <v>129</v>
      </c>
      <c r="F38" s="13" t="s">
        <v>4</v>
      </c>
      <c r="G38" s="8" t="s">
        <v>10</v>
      </c>
      <c r="H38" s="8" t="s">
        <v>473</v>
      </c>
      <c r="I38" s="11" t="s">
        <v>474</v>
      </c>
      <c r="J38" s="11" t="s">
        <v>475</v>
      </c>
      <c r="K38" s="11" t="s">
        <v>476</v>
      </c>
      <c r="L38" s="11" t="s">
        <v>477</v>
      </c>
      <c r="M38" s="11" t="s">
        <v>478</v>
      </c>
      <c r="N38" s="11" t="s">
        <v>479</v>
      </c>
      <c r="O38" s="8" t="s">
        <v>480</v>
      </c>
      <c r="P38" s="8" t="s">
        <v>81</v>
      </c>
      <c r="Q38" s="11"/>
      <c r="R38" s="8" t="s">
        <v>481</v>
      </c>
      <c r="S38" s="11" t="s">
        <v>482</v>
      </c>
      <c r="T38" s="8" t="s">
        <v>483</v>
      </c>
      <c r="U38" s="11" t="s">
        <v>85</v>
      </c>
      <c r="V38" s="8" t="s">
        <v>14</v>
      </c>
      <c r="W38" s="8"/>
      <c r="X38" s="8"/>
      <c r="Y38" s="12"/>
      <c r="Z38" s="8" t="s">
        <v>71</v>
      </c>
      <c r="AA38" s="8"/>
    </row>
    <row r="39" customFormat="false" ht="120" hidden="false" customHeight="true" outlineLevel="0" collapsed="false">
      <c r="A39" s="8" t="n">
        <v>38</v>
      </c>
      <c r="B39" s="9" t="n">
        <v>46320</v>
      </c>
      <c r="C39" s="8" t="str">
        <f aca="false">TEXT(B39,"ddd")</f>
        <v>Sun</v>
      </c>
      <c r="D39" s="8" t="s">
        <v>221</v>
      </c>
      <c r="E39" s="8" t="s">
        <v>188</v>
      </c>
      <c r="F39" s="10" t="s">
        <v>3</v>
      </c>
      <c r="G39" s="8" t="s">
        <v>11</v>
      </c>
      <c r="H39" s="8" t="s">
        <v>484</v>
      </c>
      <c r="I39" s="11" t="s">
        <v>485</v>
      </c>
      <c r="J39" s="11" t="s">
        <v>486</v>
      </c>
      <c r="K39" s="11" t="s">
        <v>487</v>
      </c>
      <c r="L39" s="11" t="s">
        <v>488</v>
      </c>
      <c r="M39" s="11" t="s">
        <v>489</v>
      </c>
      <c r="N39" s="11" t="s">
        <v>490</v>
      </c>
      <c r="O39" s="8" t="s">
        <v>491</v>
      </c>
      <c r="P39" s="8" t="s">
        <v>66</v>
      </c>
      <c r="Q39" s="11"/>
      <c r="R39" s="8" t="s">
        <v>492</v>
      </c>
      <c r="S39" s="11" t="s">
        <v>493</v>
      </c>
      <c r="T39" s="8" t="s">
        <v>494</v>
      </c>
      <c r="U39" s="11" t="s">
        <v>70</v>
      </c>
      <c r="V39" s="8" t="s">
        <v>14</v>
      </c>
      <c r="W39" s="8"/>
      <c r="X39" s="8"/>
      <c r="Y39" s="12"/>
      <c r="Z39" s="8" t="s">
        <v>71</v>
      </c>
      <c r="AA39" s="8"/>
    </row>
    <row r="40" customFormat="false" ht="120" hidden="false" customHeight="true" outlineLevel="0" collapsed="false">
      <c r="A40" s="8" t="n">
        <v>39</v>
      </c>
      <c r="B40" s="9" t="n">
        <v>46321</v>
      </c>
      <c r="C40" s="8" t="str">
        <f aca="false">TEXT(B40,"ddd")</f>
        <v>Mon</v>
      </c>
      <c r="D40" s="8" t="s">
        <v>56</v>
      </c>
      <c r="E40" s="8" t="s">
        <v>57</v>
      </c>
      <c r="F40" s="10" t="s">
        <v>3</v>
      </c>
      <c r="G40" s="8" t="s">
        <v>9</v>
      </c>
      <c r="H40" s="8" t="s">
        <v>495</v>
      </c>
      <c r="I40" s="11" t="s">
        <v>496</v>
      </c>
      <c r="J40" s="11" t="s">
        <v>497</v>
      </c>
      <c r="K40" s="11" t="s">
        <v>498</v>
      </c>
      <c r="L40" s="11" t="s">
        <v>499</v>
      </c>
      <c r="M40" s="11" t="s">
        <v>500</v>
      </c>
      <c r="N40" s="11" t="s">
        <v>501</v>
      </c>
      <c r="O40" s="8" t="s">
        <v>121</v>
      </c>
      <c r="P40" s="8" t="s">
        <v>66</v>
      </c>
      <c r="Q40" s="11"/>
      <c r="R40" s="8" t="s">
        <v>502</v>
      </c>
      <c r="S40" s="11" t="s">
        <v>503</v>
      </c>
      <c r="T40" s="8" t="s">
        <v>504</v>
      </c>
      <c r="U40" s="11" t="s">
        <v>70</v>
      </c>
      <c r="V40" s="8" t="s">
        <v>14</v>
      </c>
      <c r="W40" s="8"/>
      <c r="X40" s="8"/>
      <c r="Y40" s="12"/>
      <c r="Z40" s="8" t="s">
        <v>71</v>
      </c>
      <c r="AA40" s="8"/>
    </row>
    <row r="41" customFormat="false" ht="120" hidden="false" customHeight="true" outlineLevel="0" collapsed="false">
      <c r="A41" s="8" t="n">
        <v>40</v>
      </c>
      <c r="B41" s="9" t="n">
        <v>46321</v>
      </c>
      <c r="C41" s="8" t="str">
        <f aca="false">TEXT(B41,"ddd")</f>
        <v>Mon</v>
      </c>
      <c r="D41" s="8" t="s">
        <v>221</v>
      </c>
      <c r="E41" s="8" t="s">
        <v>188</v>
      </c>
      <c r="F41" s="13" t="s">
        <v>4</v>
      </c>
      <c r="G41" s="8" t="s">
        <v>11</v>
      </c>
      <c r="H41" s="8" t="s">
        <v>505</v>
      </c>
      <c r="I41" s="11" t="s">
        <v>506</v>
      </c>
      <c r="J41" s="11" t="s">
        <v>507</v>
      </c>
      <c r="K41" s="11" t="s">
        <v>508</v>
      </c>
      <c r="L41" s="11" t="s">
        <v>509</v>
      </c>
      <c r="M41" s="11" t="s">
        <v>510</v>
      </c>
      <c r="N41" s="11" t="s">
        <v>511</v>
      </c>
      <c r="O41" s="8" t="s">
        <v>183</v>
      </c>
      <c r="P41" s="8" t="s">
        <v>81</v>
      </c>
      <c r="Q41" s="11"/>
      <c r="R41" s="8" t="s">
        <v>512</v>
      </c>
      <c r="S41" s="11" t="s">
        <v>83</v>
      </c>
      <c r="T41" s="8" t="s">
        <v>513</v>
      </c>
      <c r="U41" s="11" t="s">
        <v>85</v>
      </c>
      <c r="V41" s="8" t="s">
        <v>14</v>
      </c>
      <c r="W41" s="8"/>
      <c r="X41" s="8" t="s">
        <v>514</v>
      </c>
      <c r="Y41" s="12" t="s">
        <v>515</v>
      </c>
      <c r="Z41" s="8" t="s">
        <v>88</v>
      </c>
      <c r="AA41" s="8" t="s">
        <v>516</v>
      </c>
    </row>
    <row r="42" customFormat="false" ht="120" hidden="false" customHeight="true" outlineLevel="0" collapsed="false">
      <c r="A42" s="8" t="n">
        <v>41</v>
      </c>
      <c r="B42" s="9" t="n">
        <v>46322</v>
      </c>
      <c r="C42" s="8" t="str">
        <f aca="false">TEXT(B42,"ddd")</f>
        <v>Tue</v>
      </c>
      <c r="D42" s="8" t="s">
        <v>56</v>
      </c>
      <c r="E42" s="8" t="s">
        <v>57</v>
      </c>
      <c r="F42" s="13" t="s">
        <v>4</v>
      </c>
      <c r="G42" s="8" t="s">
        <v>9</v>
      </c>
      <c r="H42" s="8" t="s">
        <v>517</v>
      </c>
      <c r="I42" s="11" t="s">
        <v>518</v>
      </c>
      <c r="J42" s="11" t="s">
        <v>519</v>
      </c>
      <c r="K42" s="11" t="s">
        <v>520</v>
      </c>
      <c r="L42" s="11" t="s">
        <v>521</v>
      </c>
      <c r="M42" s="11" t="s">
        <v>522</v>
      </c>
      <c r="N42" s="11" t="s">
        <v>523</v>
      </c>
      <c r="O42" s="8" t="s">
        <v>524</v>
      </c>
      <c r="P42" s="8" t="s">
        <v>81</v>
      </c>
      <c r="Q42" s="11"/>
      <c r="R42" s="8" t="s">
        <v>525</v>
      </c>
      <c r="S42" s="11" t="s">
        <v>83</v>
      </c>
      <c r="T42" s="8" t="s">
        <v>526</v>
      </c>
      <c r="U42" s="11" t="s">
        <v>85</v>
      </c>
      <c r="V42" s="8" t="s">
        <v>14</v>
      </c>
      <c r="W42" s="8"/>
      <c r="X42" s="8" t="s">
        <v>527</v>
      </c>
      <c r="Y42" s="12" t="s">
        <v>528</v>
      </c>
      <c r="Z42" s="8" t="s">
        <v>88</v>
      </c>
      <c r="AA42" s="8" t="s">
        <v>529</v>
      </c>
    </row>
    <row r="43" customFormat="false" ht="120" hidden="false" customHeight="true" outlineLevel="0" collapsed="false">
      <c r="A43" s="8" t="n">
        <v>42</v>
      </c>
      <c r="B43" s="9" t="n">
        <v>46322</v>
      </c>
      <c r="C43" s="8" t="str">
        <f aca="false">TEXT(B43,"ddd")</f>
        <v>Tue</v>
      </c>
      <c r="D43" s="8" t="s">
        <v>128</v>
      </c>
      <c r="E43" s="8" t="s">
        <v>129</v>
      </c>
      <c r="F43" s="10" t="s">
        <v>3</v>
      </c>
      <c r="G43" s="8" t="s">
        <v>10</v>
      </c>
      <c r="H43" s="8" t="s">
        <v>530</v>
      </c>
      <c r="I43" s="11" t="s">
        <v>531</v>
      </c>
      <c r="J43" s="11" t="s">
        <v>532</v>
      </c>
      <c r="K43" s="11" t="s">
        <v>533</v>
      </c>
      <c r="L43" s="11" t="s">
        <v>534</v>
      </c>
      <c r="M43" s="11" t="s">
        <v>535</v>
      </c>
      <c r="N43" s="11" t="s">
        <v>536</v>
      </c>
      <c r="O43" s="8" t="s">
        <v>80</v>
      </c>
      <c r="P43" s="8" t="s">
        <v>66</v>
      </c>
      <c r="Q43" s="11"/>
      <c r="R43" s="8" t="s">
        <v>537</v>
      </c>
      <c r="S43" s="11" t="s">
        <v>538</v>
      </c>
      <c r="T43" s="8" t="s">
        <v>539</v>
      </c>
      <c r="U43" s="11" t="s">
        <v>70</v>
      </c>
      <c r="V43" s="8" t="s">
        <v>14</v>
      </c>
      <c r="W43" s="8"/>
      <c r="X43" s="8"/>
      <c r="Y43" s="12"/>
      <c r="Z43" s="8" t="s">
        <v>71</v>
      </c>
      <c r="AA43" s="8"/>
    </row>
    <row r="44" customFormat="false" ht="120" hidden="false" customHeight="true" outlineLevel="0" collapsed="false">
      <c r="A44" s="8" t="n">
        <v>43</v>
      </c>
      <c r="B44" s="9" t="n">
        <v>46323</v>
      </c>
      <c r="C44" s="8" t="str">
        <f aca="false">TEXT(B44,"ddd")</f>
        <v>Wed</v>
      </c>
      <c r="D44" s="8" t="s">
        <v>56</v>
      </c>
      <c r="E44" s="8" t="s">
        <v>57</v>
      </c>
      <c r="F44" s="14" t="s">
        <v>5</v>
      </c>
      <c r="G44" s="8" t="s">
        <v>9</v>
      </c>
      <c r="H44" s="8" t="s">
        <v>361</v>
      </c>
      <c r="I44" s="11" t="s">
        <v>540</v>
      </c>
      <c r="J44" s="11" t="s">
        <v>541</v>
      </c>
      <c r="K44" s="11" t="s">
        <v>542</v>
      </c>
      <c r="L44" s="11" t="s">
        <v>543</v>
      </c>
      <c r="M44" s="11" t="s">
        <v>544</v>
      </c>
      <c r="N44" s="11" t="s">
        <v>545</v>
      </c>
      <c r="O44" s="8" t="s">
        <v>147</v>
      </c>
      <c r="P44" s="8" t="s">
        <v>122</v>
      </c>
      <c r="Q44" s="11" t="s">
        <v>546</v>
      </c>
      <c r="R44" s="8" t="s">
        <v>357</v>
      </c>
      <c r="S44" s="11" t="s">
        <v>83</v>
      </c>
      <c r="T44" s="8" t="s">
        <v>547</v>
      </c>
      <c r="U44" s="11" t="s">
        <v>127</v>
      </c>
      <c r="V44" s="8" t="s">
        <v>14</v>
      </c>
      <c r="W44" s="8"/>
      <c r="X44" s="8" t="s">
        <v>359</v>
      </c>
      <c r="Y44" s="12" t="s">
        <v>360</v>
      </c>
      <c r="Z44" s="8" t="s">
        <v>150</v>
      </c>
      <c r="AA44" s="8" t="s">
        <v>349</v>
      </c>
    </row>
    <row r="45" customFormat="false" ht="120" hidden="false" customHeight="true" outlineLevel="0" collapsed="false">
      <c r="A45" s="8" t="n">
        <v>44</v>
      </c>
      <c r="B45" s="9" t="n">
        <v>46323</v>
      </c>
      <c r="C45" s="8" t="str">
        <f aca="false">TEXT(B45,"ddd")</f>
        <v>Wed</v>
      </c>
      <c r="D45" s="8" t="s">
        <v>221</v>
      </c>
      <c r="E45" s="8" t="s">
        <v>188</v>
      </c>
      <c r="F45" s="13" t="s">
        <v>4</v>
      </c>
      <c r="G45" s="8" t="s">
        <v>11</v>
      </c>
      <c r="H45" s="8" t="s">
        <v>548</v>
      </c>
      <c r="I45" s="11" t="s">
        <v>549</v>
      </c>
      <c r="J45" s="11" t="s">
        <v>550</v>
      </c>
      <c r="K45" s="11" t="s">
        <v>551</v>
      </c>
      <c r="L45" s="11" t="s">
        <v>552</v>
      </c>
      <c r="M45" s="11" t="s">
        <v>553</v>
      </c>
      <c r="N45" s="11" t="s">
        <v>554</v>
      </c>
      <c r="O45" s="8" t="s">
        <v>555</v>
      </c>
      <c r="P45" s="8" t="s">
        <v>81</v>
      </c>
      <c r="Q45" s="11"/>
      <c r="R45" s="8" t="s">
        <v>556</v>
      </c>
      <c r="S45" s="11" t="s">
        <v>557</v>
      </c>
      <c r="T45" s="8" t="s">
        <v>558</v>
      </c>
      <c r="U45" s="11" t="s">
        <v>85</v>
      </c>
      <c r="V45" s="8" t="s">
        <v>14</v>
      </c>
      <c r="W45" s="8"/>
      <c r="X45" s="8"/>
      <c r="Y45" s="12"/>
      <c r="Z45" s="8" t="s">
        <v>113</v>
      </c>
      <c r="AA45" s="8"/>
    </row>
    <row r="46" customFormat="false" ht="120" hidden="false" customHeight="true" outlineLevel="0" collapsed="false">
      <c r="A46" s="8" t="n">
        <v>45</v>
      </c>
      <c r="B46" s="9" t="n">
        <v>46324</v>
      </c>
      <c r="C46" s="8" t="str">
        <f aca="false">TEXT(B46,"ddd")</f>
        <v>Thu</v>
      </c>
      <c r="D46" s="8" t="s">
        <v>56</v>
      </c>
      <c r="E46" s="8" t="s">
        <v>57</v>
      </c>
      <c r="F46" s="10" t="s">
        <v>3</v>
      </c>
      <c r="G46" s="8" t="s">
        <v>9</v>
      </c>
      <c r="H46" s="8" t="s">
        <v>559</v>
      </c>
      <c r="I46" s="11" t="s">
        <v>560</v>
      </c>
      <c r="J46" s="11" t="s">
        <v>561</v>
      </c>
      <c r="K46" s="11" t="s">
        <v>562</v>
      </c>
      <c r="L46" s="11" t="s">
        <v>563</v>
      </c>
      <c r="M46" s="11" t="s">
        <v>564</v>
      </c>
      <c r="N46" s="11" t="s">
        <v>565</v>
      </c>
      <c r="O46" s="8" t="s">
        <v>171</v>
      </c>
      <c r="P46" s="8" t="s">
        <v>66</v>
      </c>
      <c r="Q46" s="11"/>
      <c r="R46" s="8" t="s">
        <v>566</v>
      </c>
      <c r="S46" s="11" t="s">
        <v>173</v>
      </c>
      <c r="T46" s="8" t="s">
        <v>567</v>
      </c>
      <c r="U46" s="11" t="s">
        <v>70</v>
      </c>
      <c r="V46" s="8" t="s">
        <v>14</v>
      </c>
      <c r="W46" s="8"/>
      <c r="X46" s="8" t="s">
        <v>359</v>
      </c>
      <c r="Y46" s="12" t="s">
        <v>360</v>
      </c>
      <c r="Z46" s="8" t="s">
        <v>175</v>
      </c>
      <c r="AA46" s="8"/>
    </row>
    <row r="47" customFormat="false" ht="120" hidden="false" customHeight="true" outlineLevel="0" collapsed="false">
      <c r="A47" s="8" t="n">
        <v>46</v>
      </c>
      <c r="B47" s="9" t="n">
        <v>46324</v>
      </c>
      <c r="C47" s="8" t="str">
        <f aca="false">TEXT(B47,"ddd")</f>
        <v>Thu</v>
      </c>
      <c r="D47" s="8" t="s">
        <v>72</v>
      </c>
      <c r="E47" s="8" t="s">
        <v>57</v>
      </c>
      <c r="F47" s="13" t="s">
        <v>4</v>
      </c>
      <c r="G47" s="8" t="s">
        <v>9</v>
      </c>
      <c r="H47" s="8" t="s">
        <v>568</v>
      </c>
      <c r="I47" s="11" t="s">
        <v>569</v>
      </c>
      <c r="J47" s="11" t="s">
        <v>570</v>
      </c>
      <c r="K47" s="11" t="s">
        <v>571</v>
      </c>
      <c r="L47" s="11" t="s">
        <v>572</v>
      </c>
      <c r="M47" s="11" t="s">
        <v>573</v>
      </c>
      <c r="N47" s="11" t="s">
        <v>574</v>
      </c>
      <c r="O47" s="8" t="s">
        <v>575</v>
      </c>
      <c r="P47" s="8" t="s">
        <v>81</v>
      </c>
      <c r="Q47" s="11"/>
      <c r="R47" s="8" t="s">
        <v>576</v>
      </c>
      <c r="S47" s="11" t="s">
        <v>577</v>
      </c>
      <c r="T47" s="8" t="s">
        <v>578</v>
      </c>
      <c r="U47" s="11" t="s">
        <v>85</v>
      </c>
      <c r="V47" s="8" t="s">
        <v>14</v>
      </c>
      <c r="W47" s="8"/>
      <c r="X47" s="8" t="s">
        <v>579</v>
      </c>
      <c r="Y47" s="12" t="s">
        <v>580</v>
      </c>
      <c r="Z47" s="8" t="s">
        <v>88</v>
      </c>
      <c r="AA47" s="8" t="s">
        <v>581</v>
      </c>
    </row>
    <row r="48" customFormat="false" ht="120" hidden="false" customHeight="true" outlineLevel="0" collapsed="false">
      <c r="A48" s="8" t="n">
        <v>47</v>
      </c>
      <c r="B48" s="9" t="n">
        <v>46325</v>
      </c>
      <c r="C48" s="8" t="str">
        <f aca="false">TEXT(B48,"ddd")</f>
        <v>Fri</v>
      </c>
      <c r="D48" s="8" t="s">
        <v>187</v>
      </c>
      <c r="E48" s="8" t="s">
        <v>188</v>
      </c>
      <c r="F48" s="10" t="s">
        <v>3</v>
      </c>
      <c r="G48" s="8" t="s">
        <v>11</v>
      </c>
      <c r="H48" s="8" t="s">
        <v>582</v>
      </c>
      <c r="I48" s="11" t="s">
        <v>583</v>
      </c>
      <c r="J48" s="11" t="s">
        <v>584</v>
      </c>
      <c r="K48" s="11" t="s">
        <v>585</v>
      </c>
      <c r="L48" s="11" t="s">
        <v>586</v>
      </c>
      <c r="M48" s="11" t="s">
        <v>587</v>
      </c>
      <c r="N48" s="11" t="s">
        <v>588</v>
      </c>
      <c r="O48" s="8" t="s">
        <v>206</v>
      </c>
      <c r="P48" s="8" t="s">
        <v>66</v>
      </c>
      <c r="Q48" s="11"/>
      <c r="R48" s="8" t="s">
        <v>589</v>
      </c>
      <c r="S48" s="11" t="s">
        <v>590</v>
      </c>
      <c r="T48" s="8" t="s">
        <v>591</v>
      </c>
      <c r="U48" s="11" t="s">
        <v>70</v>
      </c>
      <c r="V48" s="8" t="s">
        <v>14</v>
      </c>
      <c r="W48" s="8"/>
      <c r="X48" s="8"/>
      <c r="Y48" s="12"/>
      <c r="Z48" s="8" t="s">
        <v>71</v>
      </c>
      <c r="AA48" s="8"/>
    </row>
    <row r="49" customFormat="false" ht="120" hidden="false" customHeight="true" outlineLevel="0" collapsed="false">
      <c r="A49" s="8" t="n">
        <v>48</v>
      </c>
      <c r="B49" s="9" t="n">
        <v>46325</v>
      </c>
      <c r="C49" s="8" t="str">
        <f aca="false">TEXT(B49,"ddd")</f>
        <v>Fri</v>
      </c>
      <c r="D49" s="8" t="s">
        <v>128</v>
      </c>
      <c r="E49" s="8" t="s">
        <v>129</v>
      </c>
      <c r="F49" s="14" t="s">
        <v>5</v>
      </c>
      <c r="G49" s="8" t="s">
        <v>10</v>
      </c>
      <c r="H49" s="8" t="s">
        <v>406</v>
      </c>
      <c r="I49" s="11" t="s">
        <v>592</v>
      </c>
      <c r="J49" s="11" t="s">
        <v>593</v>
      </c>
      <c r="K49" s="11" t="s">
        <v>594</v>
      </c>
      <c r="L49" s="11" t="s">
        <v>595</v>
      </c>
      <c r="M49" s="11" t="s">
        <v>596</v>
      </c>
      <c r="N49" s="11" t="s">
        <v>597</v>
      </c>
      <c r="O49" s="8" t="s">
        <v>598</v>
      </c>
      <c r="P49" s="8" t="s">
        <v>122</v>
      </c>
      <c r="Q49" s="11" t="s">
        <v>599</v>
      </c>
      <c r="R49" s="8" t="s">
        <v>401</v>
      </c>
      <c r="S49" s="11" t="s">
        <v>402</v>
      </c>
      <c r="T49" s="8" t="s">
        <v>600</v>
      </c>
      <c r="U49" s="11" t="s">
        <v>127</v>
      </c>
      <c r="V49" s="8" t="s">
        <v>14</v>
      </c>
      <c r="W49" s="8"/>
      <c r="X49" s="8" t="s">
        <v>404</v>
      </c>
      <c r="Y49" s="12" t="s">
        <v>405</v>
      </c>
      <c r="Z49" s="8" t="s">
        <v>150</v>
      </c>
      <c r="AA49" s="8" t="s">
        <v>394</v>
      </c>
    </row>
    <row r="50" customFormat="false" ht="120" hidden="false" customHeight="true" outlineLevel="0" collapsed="false">
      <c r="A50" s="8" t="n">
        <v>49</v>
      </c>
      <c r="B50" s="9" t="n">
        <v>46326</v>
      </c>
      <c r="C50" s="8" t="str">
        <f aca="false">TEXT(B50,"ddd")</f>
        <v>Sat</v>
      </c>
      <c r="D50" s="8" t="s">
        <v>56</v>
      </c>
      <c r="E50" s="8" t="s">
        <v>57</v>
      </c>
      <c r="F50" s="13" t="s">
        <v>4</v>
      </c>
      <c r="G50" s="8" t="s">
        <v>9</v>
      </c>
      <c r="H50" s="8" t="s">
        <v>601</v>
      </c>
      <c r="I50" s="11" t="s">
        <v>602</v>
      </c>
      <c r="J50" s="11" t="s">
        <v>603</v>
      </c>
      <c r="K50" s="11" t="s">
        <v>604</v>
      </c>
      <c r="L50" s="11" t="s">
        <v>605</v>
      </c>
      <c r="M50" s="11" t="s">
        <v>606</v>
      </c>
      <c r="N50" s="11" t="s">
        <v>607</v>
      </c>
      <c r="O50" s="8" t="s">
        <v>608</v>
      </c>
      <c r="P50" s="8" t="s">
        <v>81</v>
      </c>
      <c r="Q50" s="11"/>
      <c r="R50" s="8" t="s">
        <v>609</v>
      </c>
      <c r="S50" s="11" t="s">
        <v>610</v>
      </c>
      <c r="T50" s="8" t="s">
        <v>611</v>
      </c>
      <c r="U50" s="11" t="s">
        <v>85</v>
      </c>
      <c r="V50" s="8" t="s">
        <v>14</v>
      </c>
      <c r="W50" s="8"/>
      <c r="X50" s="8" t="s">
        <v>612</v>
      </c>
      <c r="Y50" s="12" t="s">
        <v>613</v>
      </c>
      <c r="Z50" s="8" t="s">
        <v>88</v>
      </c>
      <c r="AA50" s="8" t="s">
        <v>614</v>
      </c>
    </row>
    <row r="51" customFormat="false" ht="120" hidden="false" customHeight="true" outlineLevel="0" collapsed="false">
      <c r="A51" s="8" t="n">
        <v>50</v>
      </c>
      <c r="B51" s="9" t="n">
        <v>46326</v>
      </c>
      <c r="C51" s="8" t="str">
        <f aca="false">TEXT(B51,"ddd")</f>
        <v>Sat</v>
      </c>
      <c r="D51" s="8" t="s">
        <v>128</v>
      </c>
      <c r="E51" s="8" t="s">
        <v>129</v>
      </c>
      <c r="F51" s="10" t="s">
        <v>3</v>
      </c>
      <c r="G51" s="8" t="s">
        <v>10</v>
      </c>
      <c r="H51" s="8" t="s">
        <v>615</v>
      </c>
      <c r="I51" s="11" t="s">
        <v>616</v>
      </c>
      <c r="J51" s="11" t="s">
        <v>617</v>
      </c>
      <c r="K51" s="11" t="s">
        <v>618</v>
      </c>
      <c r="L51" s="11" t="s">
        <v>619</v>
      </c>
      <c r="M51" s="11" t="s">
        <v>620</v>
      </c>
      <c r="N51" s="11" t="s">
        <v>621</v>
      </c>
      <c r="O51" s="8" t="s">
        <v>622</v>
      </c>
      <c r="P51" s="8" t="s">
        <v>66</v>
      </c>
      <c r="Q51" s="11"/>
      <c r="R51" s="8" t="s">
        <v>623</v>
      </c>
      <c r="S51" s="11" t="s">
        <v>173</v>
      </c>
      <c r="T51" s="8" t="s">
        <v>624</v>
      </c>
      <c r="U51" s="11" t="s">
        <v>70</v>
      </c>
      <c r="V51" s="8" t="s">
        <v>14</v>
      </c>
      <c r="W51" s="8"/>
      <c r="X51" s="8" t="s">
        <v>404</v>
      </c>
      <c r="Y51" s="12" t="s">
        <v>405</v>
      </c>
      <c r="Z51" s="8" t="s">
        <v>175</v>
      </c>
      <c r="AA51" s="8"/>
    </row>
    <row r="52" customFormat="false" ht="120" hidden="false" customHeight="true" outlineLevel="0" collapsed="false">
      <c r="A52" s="8" t="n">
        <v>51</v>
      </c>
      <c r="B52" s="9" t="n">
        <v>46327</v>
      </c>
      <c r="C52" s="8" t="str">
        <f aca="false">TEXT(B52,"ddd")</f>
        <v>Sun</v>
      </c>
      <c r="D52" s="8" t="s">
        <v>233</v>
      </c>
      <c r="E52" s="8" t="s">
        <v>57</v>
      </c>
      <c r="F52" s="13" t="s">
        <v>4</v>
      </c>
      <c r="G52" s="8" t="s">
        <v>12</v>
      </c>
      <c r="H52" s="8" t="s">
        <v>625</v>
      </c>
      <c r="I52" s="11" t="s">
        <v>626</v>
      </c>
      <c r="J52" s="11" t="s">
        <v>627</v>
      </c>
      <c r="K52" s="11" t="s">
        <v>628</v>
      </c>
      <c r="L52" s="11" t="s">
        <v>629</v>
      </c>
      <c r="M52" s="11" t="s">
        <v>630</v>
      </c>
      <c r="N52" s="11" t="s">
        <v>631</v>
      </c>
      <c r="O52" s="8" t="s">
        <v>632</v>
      </c>
      <c r="P52" s="8" t="s">
        <v>81</v>
      </c>
      <c r="Q52" s="11"/>
      <c r="R52" s="8" t="s">
        <v>633</v>
      </c>
      <c r="S52" s="11" t="s">
        <v>634</v>
      </c>
      <c r="T52" s="8" t="s">
        <v>635</v>
      </c>
      <c r="U52" s="11" t="s">
        <v>85</v>
      </c>
      <c r="V52" s="8" t="s">
        <v>14</v>
      </c>
      <c r="W52" s="8"/>
      <c r="X52" s="8"/>
      <c r="Y52" s="12"/>
      <c r="Z52" s="8" t="s">
        <v>113</v>
      </c>
      <c r="AA52" s="8"/>
    </row>
    <row r="53" customFormat="false" ht="120" hidden="false" customHeight="true" outlineLevel="0" collapsed="false">
      <c r="A53" s="8" t="n">
        <v>52</v>
      </c>
      <c r="B53" s="9" t="n">
        <v>46327</v>
      </c>
      <c r="C53" s="8" t="str">
        <f aca="false">TEXT(B53,"ddd")</f>
        <v>Sun</v>
      </c>
      <c r="D53" s="8" t="s">
        <v>101</v>
      </c>
      <c r="E53" s="8" t="s">
        <v>57</v>
      </c>
      <c r="F53" s="14" t="s">
        <v>5</v>
      </c>
      <c r="G53" s="8" t="s">
        <v>12</v>
      </c>
      <c r="H53" s="8" t="s">
        <v>636</v>
      </c>
      <c r="I53" s="11" t="s">
        <v>637</v>
      </c>
      <c r="J53" s="11" t="s">
        <v>638</v>
      </c>
      <c r="K53" s="11" t="s">
        <v>639</v>
      </c>
      <c r="L53" s="11" t="s">
        <v>640</v>
      </c>
      <c r="M53" s="11" t="s">
        <v>641</v>
      </c>
      <c r="N53" s="11" t="s">
        <v>642</v>
      </c>
      <c r="O53" s="8" t="s">
        <v>643</v>
      </c>
      <c r="P53" s="8" t="s">
        <v>122</v>
      </c>
      <c r="Q53" s="11" t="s">
        <v>644</v>
      </c>
      <c r="R53" s="8" t="s">
        <v>645</v>
      </c>
      <c r="S53" s="11" t="s">
        <v>646</v>
      </c>
      <c r="T53" s="8" t="s">
        <v>647</v>
      </c>
      <c r="U53" s="11" t="s">
        <v>127</v>
      </c>
      <c r="V53" s="8" t="s">
        <v>14</v>
      </c>
      <c r="W53" s="8"/>
      <c r="X53" s="8"/>
      <c r="Y53" s="12"/>
      <c r="Z53" s="8" t="s">
        <v>71</v>
      </c>
      <c r="AA53" s="8"/>
    </row>
    <row r="54" customFormat="false" ht="120" hidden="false" customHeight="true" outlineLevel="0" collapsed="false">
      <c r="A54" s="8" t="n">
        <v>53</v>
      </c>
      <c r="B54" s="9" t="n">
        <v>46328</v>
      </c>
      <c r="C54" s="8" t="str">
        <f aca="false">TEXT(B54,"ddd")</f>
        <v>Mon</v>
      </c>
      <c r="D54" s="8" t="s">
        <v>56</v>
      </c>
      <c r="E54" s="8" t="s">
        <v>57</v>
      </c>
      <c r="F54" s="10" t="s">
        <v>3</v>
      </c>
      <c r="G54" s="8" t="s">
        <v>9</v>
      </c>
      <c r="H54" s="8" t="s">
        <v>648</v>
      </c>
      <c r="I54" s="11" t="s">
        <v>649</v>
      </c>
      <c r="J54" s="11" t="s">
        <v>650</v>
      </c>
      <c r="K54" s="11" t="s">
        <v>651</v>
      </c>
      <c r="L54" s="11" t="s">
        <v>652</v>
      </c>
      <c r="M54" s="11" t="s">
        <v>653</v>
      </c>
      <c r="N54" s="11" t="s">
        <v>654</v>
      </c>
      <c r="O54" s="8" t="s">
        <v>183</v>
      </c>
      <c r="P54" s="8" t="s">
        <v>66</v>
      </c>
      <c r="Q54" s="11"/>
      <c r="R54" s="8" t="s">
        <v>655</v>
      </c>
      <c r="S54" s="11" t="s">
        <v>656</v>
      </c>
      <c r="T54" s="8" t="s">
        <v>657</v>
      </c>
      <c r="U54" s="11" t="s">
        <v>70</v>
      </c>
      <c r="V54" s="8" t="s">
        <v>14</v>
      </c>
      <c r="W54" s="8"/>
      <c r="X54" s="8"/>
      <c r="Y54" s="12"/>
      <c r="Z54" s="8" t="s">
        <v>71</v>
      </c>
      <c r="AA54" s="8"/>
    </row>
    <row r="55" customFormat="false" ht="120" hidden="false" customHeight="true" outlineLevel="0" collapsed="false">
      <c r="A55" s="8" t="n">
        <v>54</v>
      </c>
      <c r="B55" s="9" t="n">
        <v>46328</v>
      </c>
      <c r="C55" s="8" t="str">
        <f aca="false">TEXT(B55,"ddd")</f>
        <v>Mon</v>
      </c>
      <c r="D55" s="8" t="s">
        <v>221</v>
      </c>
      <c r="E55" s="8" t="s">
        <v>188</v>
      </c>
      <c r="F55" s="10" t="s">
        <v>3</v>
      </c>
      <c r="G55" s="8" t="s">
        <v>11</v>
      </c>
      <c r="H55" s="8" t="s">
        <v>658</v>
      </c>
      <c r="I55" s="11" t="s">
        <v>659</v>
      </c>
      <c r="J55" s="11" t="s">
        <v>660</v>
      </c>
      <c r="K55" s="11" t="s">
        <v>661</v>
      </c>
      <c r="L55" s="11" t="s">
        <v>662</v>
      </c>
      <c r="M55" s="11" t="s">
        <v>663</v>
      </c>
      <c r="N55" s="11" t="s">
        <v>664</v>
      </c>
      <c r="O55" s="8" t="s">
        <v>665</v>
      </c>
      <c r="P55" s="8" t="s">
        <v>66</v>
      </c>
      <c r="Q55" s="11"/>
      <c r="R55" s="8" t="s">
        <v>666</v>
      </c>
      <c r="S55" s="11" t="s">
        <v>667</v>
      </c>
      <c r="T55" s="8" t="s">
        <v>668</v>
      </c>
      <c r="U55" s="11" t="s">
        <v>70</v>
      </c>
      <c r="V55" s="8" t="s">
        <v>14</v>
      </c>
      <c r="W55" s="8"/>
      <c r="X55" s="8"/>
      <c r="Y55" s="12"/>
      <c r="Z55" s="8" t="s">
        <v>113</v>
      </c>
      <c r="AA55" s="8"/>
    </row>
    <row r="56" customFormat="false" ht="120" hidden="false" customHeight="true" outlineLevel="0" collapsed="false">
      <c r="A56" s="8" t="n">
        <v>55</v>
      </c>
      <c r="B56" s="9" t="n">
        <v>46329</v>
      </c>
      <c r="C56" s="8" t="str">
        <f aca="false">TEXT(B56,"ddd")</f>
        <v>Tue</v>
      </c>
      <c r="D56" s="8" t="s">
        <v>56</v>
      </c>
      <c r="E56" s="8" t="s">
        <v>57</v>
      </c>
      <c r="F56" s="13" t="s">
        <v>4</v>
      </c>
      <c r="G56" s="8" t="s">
        <v>9</v>
      </c>
      <c r="H56" s="8" t="s">
        <v>669</v>
      </c>
      <c r="I56" s="11" t="s">
        <v>670</v>
      </c>
      <c r="J56" s="11" t="s">
        <v>671</v>
      </c>
      <c r="K56" s="11" t="s">
        <v>672</v>
      </c>
      <c r="L56" s="11" t="s">
        <v>673</v>
      </c>
      <c r="M56" s="11" t="s">
        <v>674</v>
      </c>
      <c r="N56" s="11" t="s">
        <v>675</v>
      </c>
      <c r="O56" s="8" t="s">
        <v>676</v>
      </c>
      <c r="P56" s="8" t="s">
        <v>81</v>
      </c>
      <c r="Q56" s="11"/>
      <c r="R56" s="8" t="s">
        <v>677</v>
      </c>
      <c r="S56" s="11" t="s">
        <v>678</v>
      </c>
      <c r="T56" s="8" t="s">
        <v>679</v>
      </c>
      <c r="U56" s="11" t="s">
        <v>85</v>
      </c>
      <c r="V56" s="8" t="s">
        <v>14</v>
      </c>
      <c r="W56" s="8"/>
      <c r="X56" s="8"/>
      <c r="Y56" s="12"/>
      <c r="Z56" s="8" t="s">
        <v>71</v>
      </c>
      <c r="AA56" s="8"/>
    </row>
    <row r="57" customFormat="false" ht="120" hidden="false" customHeight="true" outlineLevel="0" collapsed="false">
      <c r="A57" s="8" t="n">
        <v>56</v>
      </c>
      <c r="B57" s="9" t="n">
        <v>46329</v>
      </c>
      <c r="C57" s="8" t="str">
        <f aca="false">TEXT(B57,"ddd")</f>
        <v>Tue</v>
      </c>
      <c r="D57" s="8" t="s">
        <v>128</v>
      </c>
      <c r="E57" s="8" t="s">
        <v>129</v>
      </c>
      <c r="F57" s="10" t="s">
        <v>3</v>
      </c>
      <c r="G57" s="8" t="s">
        <v>10</v>
      </c>
      <c r="H57" s="8" t="s">
        <v>680</v>
      </c>
      <c r="I57" s="11" t="s">
        <v>681</v>
      </c>
      <c r="J57" s="11" t="s">
        <v>682</v>
      </c>
      <c r="K57" s="11" t="s">
        <v>683</v>
      </c>
      <c r="L57" s="11" t="s">
        <v>684</v>
      </c>
      <c r="M57" s="11" t="s">
        <v>685</v>
      </c>
      <c r="N57" s="11" t="s">
        <v>686</v>
      </c>
      <c r="O57" s="8" t="s">
        <v>687</v>
      </c>
      <c r="P57" s="8" t="s">
        <v>66</v>
      </c>
      <c r="Q57" s="11"/>
      <c r="R57" s="8" t="s">
        <v>688</v>
      </c>
      <c r="S57" s="11" t="s">
        <v>689</v>
      </c>
      <c r="T57" s="8" t="s">
        <v>690</v>
      </c>
      <c r="U57" s="11" t="s">
        <v>70</v>
      </c>
      <c r="V57" s="8" t="s">
        <v>14</v>
      </c>
      <c r="W57" s="8"/>
      <c r="X57" s="8"/>
      <c r="Y57" s="12"/>
      <c r="Z57" s="8" t="s">
        <v>71</v>
      </c>
      <c r="AA57" s="8"/>
    </row>
    <row r="58" customFormat="false" ht="120" hidden="false" customHeight="true" outlineLevel="0" collapsed="false">
      <c r="A58" s="8" t="n">
        <v>57</v>
      </c>
      <c r="B58" s="9" t="n">
        <v>46330</v>
      </c>
      <c r="C58" s="8" t="str">
        <f aca="false">TEXT(B58,"ddd")</f>
        <v>Wed</v>
      </c>
      <c r="D58" s="8" t="s">
        <v>56</v>
      </c>
      <c r="E58" s="8" t="s">
        <v>57</v>
      </c>
      <c r="F58" s="13" t="s">
        <v>4</v>
      </c>
      <c r="G58" s="8" t="s">
        <v>9</v>
      </c>
      <c r="H58" s="8" t="s">
        <v>691</v>
      </c>
      <c r="I58" s="11" t="s">
        <v>692</v>
      </c>
      <c r="J58" s="11" t="s">
        <v>693</v>
      </c>
      <c r="K58" s="11" t="s">
        <v>694</v>
      </c>
      <c r="L58" s="11" t="s">
        <v>695</v>
      </c>
      <c r="M58" s="11" t="s">
        <v>696</v>
      </c>
      <c r="N58" s="11" t="s">
        <v>697</v>
      </c>
      <c r="O58" s="8" t="s">
        <v>698</v>
      </c>
      <c r="P58" s="8" t="s">
        <v>81</v>
      </c>
      <c r="Q58" s="11"/>
      <c r="R58" s="8" t="s">
        <v>699</v>
      </c>
      <c r="S58" s="11" t="s">
        <v>83</v>
      </c>
      <c r="T58" s="8" t="s">
        <v>700</v>
      </c>
      <c r="U58" s="11" t="s">
        <v>85</v>
      </c>
      <c r="V58" s="8" t="s">
        <v>14</v>
      </c>
      <c r="W58" s="8"/>
      <c r="X58" s="8" t="s">
        <v>701</v>
      </c>
      <c r="Y58" s="12" t="s">
        <v>702</v>
      </c>
      <c r="Z58" s="8" t="s">
        <v>88</v>
      </c>
      <c r="AA58" s="8" t="s">
        <v>703</v>
      </c>
    </row>
    <row r="59" customFormat="false" ht="120" hidden="false" customHeight="true" outlineLevel="0" collapsed="false">
      <c r="A59" s="8" t="n">
        <v>58</v>
      </c>
      <c r="B59" s="9" t="n">
        <v>46330</v>
      </c>
      <c r="C59" s="8" t="str">
        <f aca="false">TEXT(B59,"ddd")</f>
        <v>Wed</v>
      </c>
      <c r="D59" s="8" t="s">
        <v>221</v>
      </c>
      <c r="E59" s="8" t="s">
        <v>188</v>
      </c>
      <c r="F59" s="10" t="s">
        <v>3</v>
      </c>
      <c r="G59" s="8" t="s">
        <v>11</v>
      </c>
      <c r="H59" s="8" t="s">
        <v>516</v>
      </c>
      <c r="I59" s="11" t="s">
        <v>704</v>
      </c>
      <c r="J59" s="11" t="s">
        <v>705</v>
      </c>
      <c r="K59" s="11" t="s">
        <v>706</v>
      </c>
      <c r="L59" s="11" t="s">
        <v>707</v>
      </c>
      <c r="M59" s="11" t="s">
        <v>708</v>
      </c>
      <c r="N59" s="11" t="s">
        <v>709</v>
      </c>
      <c r="O59" s="8" t="s">
        <v>710</v>
      </c>
      <c r="P59" s="8" t="s">
        <v>66</v>
      </c>
      <c r="Q59" s="11"/>
      <c r="R59" s="8" t="s">
        <v>512</v>
      </c>
      <c r="S59" s="11" t="s">
        <v>83</v>
      </c>
      <c r="T59" s="8" t="s">
        <v>711</v>
      </c>
      <c r="U59" s="11" t="s">
        <v>70</v>
      </c>
      <c r="V59" s="8" t="s">
        <v>14</v>
      </c>
      <c r="W59" s="8"/>
      <c r="X59" s="8" t="s">
        <v>514</v>
      </c>
      <c r="Y59" s="12" t="s">
        <v>515</v>
      </c>
      <c r="Z59" s="8" t="s">
        <v>150</v>
      </c>
      <c r="AA59" s="8" t="s">
        <v>505</v>
      </c>
    </row>
    <row r="60" customFormat="false" ht="120" hidden="false" customHeight="true" outlineLevel="0" collapsed="false">
      <c r="A60" s="8" t="n">
        <v>59</v>
      </c>
      <c r="B60" s="9" t="n">
        <v>46331</v>
      </c>
      <c r="C60" s="8" t="str">
        <f aca="false">TEXT(B60,"ddd")</f>
        <v>Thu</v>
      </c>
      <c r="D60" s="8" t="s">
        <v>56</v>
      </c>
      <c r="E60" s="8" t="s">
        <v>57</v>
      </c>
      <c r="F60" s="10" t="s">
        <v>3</v>
      </c>
      <c r="G60" s="8" t="s">
        <v>9</v>
      </c>
      <c r="H60" s="8" t="s">
        <v>529</v>
      </c>
      <c r="I60" s="11" t="s">
        <v>712</v>
      </c>
      <c r="J60" s="11" t="s">
        <v>713</v>
      </c>
      <c r="K60" s="11" t="s">
        <v>714</v>
      </c>
      <c r="L60" s="11" t="s">
        <v>715</v>
      </c>
      <c r="M60" s="11" t="s">
        <v>716</v>
      </c>
      <c r="N60" s="11" t="s">
        <v>717</v>
      </c>
      <c r="O60" s="8" t="s">
        <v>436</v>
      </c>
      <c r="P60" s="8" t="s">
        <v>66</v>
      </c>
      <c r="Q60" s="11"/>
      <c r="R60" s="8" t="s">
        <v>525</v>
      </c>
      <c r="S60" s="11" t="s">
        <v>83</v>
      </c>
      <c r="T60" s="8" t="s">
        <v>718</v>
      </c>
      <c r="U60" s="11" t="s">
        <v>70</v>
      </c>
      <c r="V60" s="8" t="s">
        <v>14</v>
      </c>
      <c r="W60" s="8"/>
      <c r="X60" s="8" t="s">
        <v>527</v>
      </c>
      <c r="Y60" s="12" t="s">
        <v>528</v>
      </c>
      <c r="Z60" s="8" t="s">
        <v>150</v>
      </c>
      <c r="AA60" s="8" t="s">
        <v>517</v>
      </c>
    </row>
    <row r="61" customFormat="false" ht="120" hidden="false" customHeight="true" outlineLevel="0" collapsed="false">
      <c r="A61" s="8" t="n">
        <v>60</v>
      </c>
      <c r="B61" s="9" t="n">
        <v>46331</v>
      </c>
      <c r="C61" s="8" t="str">
        <f aca="false">TEXT(B61,"ddd")</f>
        <v>Thu</v>
      </c>
      <c r="D61" s="8" t="s">
        <v>221</v>
      </c>
      <c r="E61" s="8" t="s">
        <v>188</v>
      </c>
      <c r="F61" s="10" t="s">
        <v>3</v>
      </c>
      <c r="G61" s="8" t="s">
        <v>11</v>
      </c>
      <c r="H61" s="8" t="s">
        <v>719</v>
      </c>
      <c r="I61" s="11" t="s">
        <v>720</v>
      </c>
      <c r="J61" s="11" t="s">
        <v>721</v>
      </c>
      <c r="K61" s="11" t="s">
        <v>722</v>
      </c>
      <c r="L61" s="11" t="s">
        <v>723</v>
      </c>
      <c r="M61" s="11" t="s">
        <v>724</v>
      </c>
      <c r="N61" s="11" t="s">
        <v>725</v>
      </c>
      <c r="O61" s="8" t="s">
        <v>726</v>
      </c>
      <c r="P61" s="8" t="s">
        <v>66</v>
      </c>
      <c r="Q61" s="11"/>
      <c r="R61" s="8" t="s">
        <v>727</v>
      </c>
      <c r="S61" s="11" t="s">
        <v>173</v>
      </c>
      <c r="T61" s="8" t="s">
        <v>728</v>
      </c>
      <c r="U61" s="11" t="s">
        <v>70</v>
      </c>
      <c r="V61" s="8" t="s">
        <v>14</v>
      </c>
      <c r="W61" s="8"/>
      <c r="X61" s="8" t="s">
        <v>514</v>
      </c>
      <c r="Y61" s="12" t="s">
        <v>515</v>
      </c>
      <c r="Z61" s="8" t="s">
        <v>175</v>
      </c>
      <c r="AA61" s="8"/>
    </row>
    <row r="62" customFormat="false" ht="120" hidden="false" customHeight="true" outlineLevel="0" collapsed="false">
      <c r="A62" s="8" t="n">
        <v>61</v>
      </c>
      <c r="B62" s="9" t="n">
        <v>46332</v>
      </c>
      <c r="C62" s="8" t="str">
        <f aca="false">TEXT(B62,"ddd")</f>
        <v>Fri</v>
      </c>
      <c r="D62" s="8" t="s">
        <v>56</v>
      </c>
      <c r="E62" s="8" t="s">
        <v>57</v>
      </c>
      <c r="F62" s="10" t="s">
        <v>3</v>
      </c>
      <c r="G62" s="8" t="s">
        <v>9</v>
      </c>
      <c r="H62" s="8" t="s">
        <v>729</v>
      </c>
      <c r="I62" s="11" t="s">
        <v>730</v>
      </c>
      <c r="J62" s="11" t="s">
        <v>731</v>
      </c>
      <c r="K62" s="11" t="s">
        <v>732</v>
      </c>
      <c r="L62" s="11" t="s">
        <v>733</v>
      </c>
      <c r="M62" s="11" t="s">
        <v>734</v>
      </c>
      <c r="N62" s="11" t="s">
        <v>735</v>
      </c>
      <c r="O62" s="8" t="s">
        <v>369</v>
      </c>
      <c r="P62" s="8" t="s">
        <v>66</v>
      </c>
      <c r="Q62" s="11"/>
      <c r="R62" s="8" t="s">
        <v>736</v>
      </c>
      <c r="S62" s="11" t="s">
        <v>173</v>
      </c>
      <c r="T62" s="8" t="s">
        <v>737</v>
      </c>
      <c r="U62" s="11" t="s">
        <v>70</v>
      </c>
      <c r="V62" s="8" t="s">
        <v>14</v>
      </c>
      <c r="W62" s="8"/>
      <c r="X62" s="8" t="s">
        <v>527</v>
      </c>
      <c r="Y62" s="12" t="s">
        <v>528</v>
      </c>
      <c r="Z62" s="8" t="s">
        <v>175</v>
      </c>
      <c r="AA62" s="8"/>
    </row>
    <row r="63" customFormat="false" ht="120" hidden="false" customHeight="true" outlineLevel="0" collapsed="false">
      <c r="A63" s="8" t="n">
        <v>62</v>
      </c>
      <c r="B63" s="9" t="n">
        <v>46332</v>
      </c>
      <c r="C63" s="8" t="str">
        <f aca="false">TEXT(B63,"ddd")</f>
        <v>Fri</v>
      </c>
      <c r="D63" s="8" t="s">
        <v>221</v>
      </c>
      <c r="E63" s="8" t="s">
        <v>188</v>
      </c>
      <c r="F63" s="10" t="s">
        <v>3</v>
      </c>
      <c r="G63" s="8" t="s">
        <v>11</v>
      </c>
      <c r="H63" s="8" t="s">
        <v>738</v>
      </c>
      <c r="I63" s="11" t="s">
        <v>739</v>
      </c>
      <c r="J63" s="11" t="s">
        <v>740</v>
      </c>
      <c r="K63" s="11" t="s">
        <v>741</v>
      </c>
      <c r="L63" s="11" t="s">
        <v>742</v>
      </c>
      <c r="M63" s="11" t="s">
        <v>743</v>
      </c>
      <c r="N63" s="11" t="s">
        <v>744</v>
      </c>
      <c r="O63" s="8" t="s">
        <v>745</v>
      </c>
      <c r="P63" s="8" t="s">
        <v>66</v>
      </c>
      <c r="Q63" s="11"/>
      <c r="R63" s="8" t="s">
        <v>746</v>
      </c>
      <c r="S63" s="11" t="s">
        <v>747</v>
      </c>
      <c r="T63" s="8" t="s">
        <v>748</v>
      </c>
      <c r="U63" s="11" t="s">
        <v>70</v>
      </c>
      <c r="V63" s="8" t="s">
        <v>14</v>
      </c>
      <c r="W63" s="8"/>
      <c r="X63" s="8"/>
      <c r="Y63" s="12"/>
      <c r="Z63" s="8" t="s">
        <v>71</v>
      </c>
      <c r="AA63" s="8"/>
    </row>
    <row r="64" customFormat="false" ht="120" hidden="false" customHeight="true" outlineLevel="0" collapsed="false">
      <c r="A64" s="8" t="n">
        <v>63</v>
      </c>
      <c r="B64" s="9" t="n">
        <v>46333</v>
      </c>
      <c r="C64" s="8" t="str">
        <f aca="false">TEXT(B64,"ddd")</f>
        <v>Sat</v>
      </c>
      <c r="D64" s="8" t="s">
        <v>56</v>
      </c>
      <c r="E64" s="8" t="s">
        <v>57</v>
      </c>
      <c r="F64" s="14" t="s">
        <v>5</v>
      </c>
      <c r="G64" s="8" t="s">
        <v>9</v>
      </c>
      <c r="H64" s="8" t="s">
        <v>581</v>
      </c>
      <c r="I64" s="11" t="s">
        <v>749</v>
      </c>
      <c r="J64" s="11" t="s">
        <v>750</v>
      </c>
      <c r="K64" s="11" t="s">
        <v>751</v>
      </c>
      <c r="L64" s="11" t="s">
        <v>752</v>
      </c>
      <c r="M64" s="11" t="s">
        <v>753</v>
      </c>
      <c r="N64" s="11" t="s">
        <v>754</v>
      </c>
      <c r="O64" s="8" t="s">
        <v>80</v>
      </c>
      <c r="P64" s="8" t="s">
        <v>122</v>
      </c>
      <c r="Q64" s="11" t="s">
        <v>755</v>
      </c>
      <c r="R64" s="8" t="s">
        <v>576</v>
      </c>
      <c r="S64" s="11" t="s">
        <v>577</v>
      </c>
      <c r="T64" s="8" t="s">
        <v>756</v>
      </c>
      <c r="U64" s="11" t="s">
        <v>127</v>
      </c>
      <c r="V64" s="8" t="s">
        <v>14</v>
      </c>
      <c r="W64" s="8"/>
      <c r="X64" s="8" t="s">
        <v>579</v>
      </c>
      <c r="Y64" s="12" t="s">
        <v>580</v>
      </c>
      <c r="Z64" s="8" t="s">
        <v>150</v>
      </c>
      <c r="AA64" s="8" t="s">
        <v>568</v>
      </c>
    </row>
    <row r="65" customFormat="false" ht="120" hidden="false" customHeight="true" outlineLevel="0" collapsed="false">
      <c r="A65" s="8" t="n">
        <v>64</v>
      </c>
      <c r="B65" s="9" t="n">
        <v>46333</v>
      </c>
      <c r="C65" s="8" t="str">
        <f aca="false">TEXT(B65,"ddd")</f>
        <v>Sat</v>
      </c>
      <c r="D65" s="8" t="s">
        <v>128</v>
      </c>
      <c r="E65" s="8" t="s">
        <v>129</v>
      </c>
      <c r="F65" s="13" t="s">
        <v>4</v>
      </c>
      <c r="G65" s="8" t="s">
        <v>10</v>
      </c>
      <c r="H65" s="8" t="s">
        <v>757</v>
      </c>
      <c r="I65" s="11" t="s">
        <v>758</v>
      </c>
      <c r="J65" s="11" t="s">
        <v>759</v>
      </c>
      <c r="K65" s="11" t="s">
        <v>760</v>
      </c>
      <c r="L65" s="11" t="s">
        <v>761</v>
      </c>
      <c r="M65" s="11" t="s">
        <v>762</v>
      </c>
      <c r="N65" s="11" t="s">
        <v>763</v>
      </c>
      <c r="O65" s="8" t="s">
        <v>390</v>
      </c>
      <c r="P65" s="8" t="s">
        <v>81</v>
      </c>
      <c r="Q65" s="11"/>
      <c r="R65" s="8" t="s">
        <v>764</v>
      </c>
      <c r="S65" s="11" t="s">
        <v>765</v>
      </c>
      <c r="T65" s="8" t="s">
        <v>766</v>
      </c>
      <c r="U65" s="11" t="s">
        <v>85</v>
      </c>
      <c r="V65" s="8" t="s">
        <v>14</v>
      </c>
      <c r="W65" s="8"/>
      <c r="X65" s="8"/>
      <c r="Y65" s="12"/>
      <c r="Z65" s="8" t="s">
        <v>71</v>
      </c>
      <c r="AA65" s="8"/>
    </row>
    <row r="66" customFormat="false" ht="120" hidden="false" customHeight="true" outlineLevel="0" collapsed="false">
      <c r="A66" s="8" t="n">
        <v>65</v>
      </c>
      <c r="B66" s="9" t="n">
        <v>46334</v>
      </c>
      <c r="C66" s="8" t="str">
        <f aca="false">TEXT(B66,"ddd")</f>
        <v>Sun</v>
      </c>
      <c r="D66" s="8" t="s">
        <v>56</v>
      </c>
      <c r="E66" s="8" t="s">
        <v>57</v>
      </c>
      <c r="F66" s="10" t="s">
        <v>3</v>
      </c>
      <c r="G66" s="8" t="s">
        <v>9</v>
      </c>
      <c r="H66" s="8" t="s">
        <v>767</v>
      </c>
      <c r="I66" s="11" t="s">
        <v>768</v>
      </c>
      <c r="J66" s="11" t="s">
        <v>769</v>
      </c>
      <c r="K66" s="11" t="s">
        <v>770</v>
      </c>
      <c r="L66" s="11" t="s">
        <v>771</v>
      </c>
      <c r="M66" s="11" t="s">
        <v>772</v>
      </c>
      <c r="N66" s="11" t="s">
        <v>773</v>
      </c>
      <c r="O66" s="8" t="s">
        <v>774</v>
      </c>
      <c r="P66" s="8" t="s">
        <v>66</v>
      </c>
      <c r="Q66" s="11"/>
      <c r="R66" s="8" t="s">
        <v>775</v>
      </c>
      <c r="S66" s="11" t="s">
        <v>776</v>
      </c>
      <c r="T66" s="8" t="s">
        <v>777</v>
      </c>
      <c r="U66" s="11" t="s">
        <v>70</v>
      </c>
      <c r="V66" s="8" t="s">
        <v>14</v>
      </c>
      <c r="W66" s="8"/>
      <c r="X66" s="8"/>
      <c r="Y66" s="12"/>
      <c r="Z66" s="8" t="s">
        <v>71</v>
      </c>
      <c r="AA66" s="8"/>
    </row>
    <row r="67" customFormat="false" ht="120" hidden="false" customHeight="true" outlineLevel="0" collapsed="false">
      <c r="A67" s="8" t="n">
        <v>66</v>
      </c>
      <c r="B67" s="9" t="n">
        <v>46334</v>
      </c>
      <c r="C67" s="8" t="str">
        <f aca="false">TEXT(B67,"ddd")</f>
        <v>Sun</v>
      </c>
      <c r="D67" s="8" t="s">
        <v>72</v>
      </c>
      <c r="E67" s="8" t="s">
        <v>57</v>
      </c>
      <c r="F67" s="10" t="s">
        <v>3</v>
      </c>
      <c r="G67" s="8" t="s">
        <v>9</v>
      </c>
      <c r="H67" s="8" t="s">
        <v>778</v>
      </c>
      <c r="I67" s="11" t="s">
        <v>779</v>
      </c>
      <c r="J67" s="11" t="s">
        <v>780</v>
      </c>
      <c r="K67" s="11" t="s">
        <v>781</v>
      </c>
      <c r="L67" s="11" t="s">
        <v>782</v>
      </c>
      <c r="M67" s="11" t="s">
        <v>783</v>
      </c>
      <c r="N67" s="11" t="s">
        <v>784</v>
      </c>
      <c r="O67" s="8" t="s">
        <v>183</v>
      </c>
      <c r="P67" s="8" t="s">
        <v>66</v>
      </c>
      <c r="Q67" s="11"/>
      <c r="R67" s="8" t="s">
        <v>785</v>
      </c>
      <c r="S67" s="11" t="s">
        <v>786</v>
      </c>
      <c r="T67" s="8" t="s">
        <v>787</v>
      </c>
      <c r="U67" s="11" t="s">
        <v>70</v>
      </c>
      <c r="V67" s="8" t="s">
        <v>14</v>
      </c>
      <c r="W67" s="8"/>
      <c r="X67" s="8" t="s">
        <v>579</v>
      </c>
      <c r="Y67" s="12" t="s">
        <v>580</v>
      </c>
      <c r="Z67" s="8" t="s">
        <v>175</v>
      </c>
      <c r="AA67" s="8"/>
    </row>
    <row r="68" customFormat="false" ht="120" hidden="false" customHeight="true" outlineLevel="0" collapsed="false">
      <c r="A68" s="8" t="n">
        <v>67</v>
      </c>
      <c r="B68" s="9" t="n">
        <v>46335</v>
      </c>
      <c r="C68" s="8" t="str">
        <f aca="false">TEXT(B68,"ddd")</f>
        <v>Mon</v>
      </c>
      <c r="D68" s="8" t="s">
        <v>56</v>
      </c>
      <c r="E68" s="8" t="s">
        <v>57</v>
      </c>
      <c r="F68" s="14" t="s">
        <v>5</v>
      </c>
      <c r="G68" s="8" t="s">
        <v>9</v>
      </c>
      <c r="H68" s="8" t="s">
        <v>788</v>
      </c>
      <c r="I68" s="11" t="s">
        <v>789</v>
      </c>
      <c r="J68" s="11" t="s">
        <v>790</v>
      </c>
      <c r="K68" s="11" t="s">
        <v>791</v>
      </c>
      <c r="L68" s="11" t="s">
        <v>792</v>
      </c>
      <c r="M68" s="11" t="s">
        <v>793</v>
      </c>
      <c r="N68" s="11" t="s">
        <v>794</v>
      </c>
      <c r="O68" s="8" t="s">
        <v>795</v>
      </c>
      <c r="P68" s="8" t="s">
        <v>122</v>
      </c>
      <c r="Q68" s="11" t="s">
        <v>796</v>
      </c>
      <c r="R68" s="8" t="s">
        <v>797</v>
      </c>
      <c r="S68" s="11" t="s">
        <v>798</v>
      </c>
      <c r="T68" s="8" t="s">
        <v>799</v>
      </c>
      <c r="U68" s="11" t="s">
        <v>127</v>
      </c>
      <c r="V68" s="8" t="s">
        <v>14</v>
      </c>
      <c r="W68" s="8"/>
      <c r="X68" s="8"/>
      <c r="Y68" s="12"/>
      <c r="Z68" s="8" t="s">
        <v>71</v>
      </c>
      <c r="AA68" s="8"/>
    </row>
    <row r="69" customFormat="false" ht="120" hidden="false" customHeight="true" outlineLevel="0" collapsed="false">
      <c r="A69" s="8" t="n">
        <v>68</v>
      </c>
      <c r="B69" s="9" t="n">
        <v>46335</v>
      </c>
      <c r="C69" s="8" t="str">
        <f aca="false">TEXT(B69,"ddd")</f>
        <v>Mon</v>
      </c>
      <c r="D69" s="8" t="s">
        <v>72</v>
      </c>
      <c r="E69" s="8" t="s">
        <v>57</v>
      </c>
      <c r="F69" s="14" t="s">
        <v>5</v>
      </c>
      <c r="G69" s="8" t="s">
        <v>9</v>
      </c>
      <c r="H69" s="8" t="s">
        <v>614</v>
      </c>
      <c r="I69" s="11" t="s">
        <v>800</v>
      </c>
      <c r="J69" s="11" t="s">
        <v>801</v>
      </c>
      <c r="K69" s="11" t="s">
        <v>802</v>
      </c>
      <c r="L69" s="11" t="s">
        <v>803</v>
      </c>
      <c r="M69" s="11" t="s">
        <v>804</v>
      </c>
      <c r="N69" s="11" t="s">
        <v>805</v>
      </c>
      <c r="O69" s="8" t="s">
        <v>183</v>
      </c>
      <c r="P69" s="8" t="s">
        <v>122</v>
      </c>
      <c r="Q69" s="11" t="s">
        <v>806</v>
      </c>
      <c r="R69" s="8" t="s">
        <v>609</v>
      </c>
      <c r="S69" s="11" t="s">
        <v>610</v>
      </c>
      <c r="T69" s="8" t="s">
        <v>807</v>
      </c>
      <c r="U69" s="11" t="s">
        <v>127</v>
      </c>
      <c r="V69" s="8" t="s">
        <v>14</v>
      </c>
      <c r="W69" s="8"/>
      <c r="X69" s="8" t="s">
        <v>612</v>
      </c>
      <c r="Y69" s="12" t="s">
        <v>613</v>
      </c>
      <c r="Z69" s="8" t="s">
        <v>150</v>
      </c>
      <c r="AA69" s="8" t="s">
        <v>601</v>
      </c>
    </row>
    <row r="70" customFormat="false" ht="120" hidden="false" customHeight="true" outlineLevel="0" collapsed="false">
      <c r="A70" s="8" t="n">
        <v>69</v>
      </c>
      <c r="B70" s="9" t="n">
        <v>46336</v>
      </c>
      <c r="C70" s="8" t="str">
        <f aca="false">TEXT(B70,"ddd")</f>
        <v>Tue</v>
      </c>
      <c r="D70" s="8" t="s">
        <v>56</v>
      </c>
      <c r="E70" s="8" t="s">
        <v>57</v>
      </c>
      <c r="F70" s="10" t="s">
        <v>3</v>
      </c>
      <c r="G70" s="8" t="s">
        <v>9</v>
      </c>
      <c r="H70" s="8" t="s">
        <v>808</v>
      </c>
      <c r="I70" s="11" t="s">
        <v>809</v>
      </c>
      <c r="J70" s="11" t="s">
        <v>810</v>
      </c>
      <c r="K70" s="11" t="s">
        <v>811</v>
      </c>
      <c r="L70" s="11" t="s">
        <v>812</v>
      </c>
      <c r="M70" s="11" t="s">
        <v>813</v>
      </c>
      <c r="N70" s="11" t="s">
        <v>814</v>
      </c>
      <c r="O70" s="8" t="s">
        <v>815</v>
      </c>
      <c r="P70" s="8" t="s">
        <v>66</v>
      </c>
      <c r="Q70" s="11"/>
      <c r="R70" s="8" t="s">
        <v>816</v>
      </c>
      <c r="S70" s="11" t="s">
        <v>173</v>
      </c>
      <c r="T70" s="8" t="s">
        <v>817</v>
      </c>
      <c r="U70" s="11" t="s">
        <v>70</v>
      </c>
      <c r="V70" s="8" t="s">
        <v>14</v>
      </c>
      <c r="W70" s="8"/>
      <c r="X70" s="8" t="s">
        <v>612</v>
      </c>
      <c r="Y70" s="12" t="s">
        <v>613</v>
      </c>
      <c r="Z70" s="8" t="s">
        <v>175</v>
      </c>
      <c r="AA70" s="8"/>
    </row>
    <row r="71" customFormat="false" ht="120" hidden="false" customHeight="true" outlineLevel="0" collapsed="false">
      <c r="A71" s="8" t="n">
        <v>70</v>
      </c>
      <c r="B71" s="9" t="n">
        <v>46336</v>
      </c>
      <c r="C71" s="8" t="str">
        <f aca="false">TEXT(B71,"ddd")</f>
        <v>Tue</v>
      </c>
      <c r="D71" s="8" t="s">
        <v>72</v>
      </c>
      <c r="E71" s="8" t="s">
        <v>57</v>
      </c>
      <c r="F71" s="13" t="s">
        <v>4</v>
      </c>
      <c r="G71" s="8" t="s">
        <v>9</v>
      </c>
      <c r="H71" s="8" t="s">
        <v>818</v>
      </c>
      <c r="I71" s="11" t="s">
        <v>819</v>
      </c>
      <c r="J71" s="11" t="s">
        <v>820</v>
      </c>
      <c r="K71" s="11" t="s">
        <v>821</v>
      </c>
      <c r="L71" s="11" t="s">
        <v>822</v>
      </c>
      <c r="M71" s="11" t="s">
        <v>823</v>
      </c>
      <c r="N71" s="11" t="s">
        <v>824</v>
      </c>
      <c r="O71" s="8" t="s">
        <v>80</v>
      </c>
      <c r="P71" s="8" t="s">
        <v>81</v>
      </c>
      <c r="Q71" s="11"/>
      <c r="R71" s="8" t="s">
        <v>825</v>
      </c>
      <c r="S71" s="11" t="s">
        <v>83</v>
      </c>
      <c r="T71" s="8" t="s">
        <v>826</v>
      </c>
      <c r="U71" s="11" t="s">
        <v>85</v>
      </c>
      <c r="V71" s="8" t="s">
        <v>14</v>
      </c>
      <c r="W71" s="8"/>
      <c r="X71" s="8" t="s">
        <v>827</v>
      </c>
      <c r="Y71" s="12" t="s">
        <v>828</v>
      </c>
      <c r="Z71" s="8" t="s">
        <v>88</v>
      </c>
      <c r="AA71" s="8" t="s">
        <v>829</v>
      </c>
    </row>
    <row r="72" customFormat="false" ht="120" hidden="false" customHeight="true" outlineLevel="0" collapsed="false">
      <c r="A72" s="8" t="n">
        <v>71</v>
      </c>
      <c r="B72" s="9" t="n">
        <v>46337</v>
      </c>
      <c r="C72" s="8" t="str">
        <f aca="false">TEXT(B72,"ddd")</f>
        <v>Wed</v>
      </c>
      <c r="D72" s="8" t="s">
        <v>187</v>
      </c>
      <c r="E72" s="8" t="s">
        <v>188</v>
      </c>
      <c r="F72" s="13" t="s">
        <v>4</v>
      </c>
      <c r="G72" s="8" t="s">
        <v>11</v>
      </c>
      <c r="H72" s="8" t="s">
        <v>830</v>
      </c>
      <c r="I72" s="11" t="s">
        <v>831</v>
      </c>
      <c r="J72" s="11" t="s">
        <v>832</v>
      </c>
      <c r="K72" s="11" t="s">
        <v>833</v>
      </c>
      <c r="L72" s="11" t="s">
        <v>834</v>
      </c>
      <c r="M72" s="11" t="s">
        <v>835</v>
      </c>
      <c r="N72" s="11" t="s">
        <v>836</v>
      </c>
      <c r="O72" s="8" t="s">
        <v>837</v>
      </c>
      <c r="P72" s="8" t="s">
        <v>81</v>
      </c>
      <c r="Q72" s="11"/>
      <c r="R72" s="8" t="s">
        <v>838</v>
      </c>
      <c r="S72" s="11" t="s">
        <v>839</v>
      </c>
      <c r="T72" s="8" t="s">
        <v>840</v>
      </c>
      <c r="U72" s="11" t="s">
        <v>85</v>
      </c>
      <c r="V72" s="8" t="s">
        <v>14</v>
      </c>
      <c r="W72" s="8"/>
      <c r="X72" s="8"/>
      <c r="Y72" s="12"/>
      <c r="Z72" s="8" t="s">
        <v>113</v>
      </c>
      <c r="AA72" s="8"/>
    </row>
    <row r="73" customFormat="false" ht="120" hidden="false" customHeight="true" outlineLevel="0" collapsed="false">
      <c r="A73" s="8" t="n">
        <v>72</v>
      </c>
      <c r="B73" s="9" t="n">
        <v>46337</v>
      </c>
      <c r="C73" s="8" t="str">
        <f aca="false">TEXT(B73,"ddd")</f>
        <v>Wed</v>
      </c>
      <c r="D73" s="8" t="s">
        <v>128</v>
      </c>
      <c r="E73" s="8" t="s">
        <v>129</v>
      </c>
      <c r="F73" s="10" t="s">
        <v>3</v>
      </c>
      <c r="G73" s="8" t="s">
        <v>10</v>
      </c>
      <c r="H73" s="8" t="s">
        <v>841</v>
      </c>
      <c r="I73" s="11" t="s">
        <v>842</v>
      </c>
      <c r="J73" s="11" t="s">
        <v>843</v>
      </c>
      <c r="K73" s="11" t="s">
        <v>844</v>
      </c>
      <c r="L73" s="11" t="s">
        <v>845</v>
      </c>
      <c r="M73" s="11" t="s">
        <v>846</v>
      </c>
      <c r="N73" s="11" t="s">
        <v>847</v>
      </c>
      <c r="O73" s="8" t="s">
        <v>848</v>
      </c>
      <c r="P73" s="8" t="s">
        <v>66</v>
      </c>
      <c r="Q73" s="11"/>
      <c r="R73" s="8" t="s">
        <v>849</v>
      </c>
      <c r="S73" s="11" t="s">
        <v>850</v>
      </c>
      <c r="T73" s="8" t="s">
        <v>851</v>
      </c>
      <c r="U73" s="11" t="s">
        <v>70</v>
      </c>
      <c r="V73" s="8" t="s">
        <v>14</v>
      </c>
      <c r="W73" s="8"/>
      <c r="X73" s="8"/>
      <c r="Y73" s="12"/>
      <c r="Z73" s="8" t="s">
        <v>71</v>
      </c>
      <c r="AA73" s="8"/>
    </row>
    <row r="74" customFormat="false" ht="120" hidden="false" customHeight="true" outlineLevel="0" collapsed="false">
      <c r="A74" s="8" t="n">
        <v>73</v>
      </c>
      <c r="B74" s="9" t="n">
        <v>46338</v>
      </c>
      <c r="C74" s="8" t="str">
        <f aca="false">TEXT(B74,"ddd")</f>
        <v>Thu</v>
      </c>
      <c r="D74" s="8" t="s">
        <v>56</v>
      </c>
      <c r="E74" s="8" t="s">
        <v>57</v>
      </c>
      <c r="F74" s="13" t="s">
        <v>4</v>
      </c>
      <c r="G74" s="8" t="s">
        <v>9</v>
      </c>
      <c r="H74" s="8" t="s">
        <v>852</v>
      </c>
      <c r="I74" s="11" t="s">
        <v>853</v>
      </c>
      <c r="J74" s="11" t="s">
        <v>854</v>
      </c>
      <c r="K74" s="11" t="s">
        <v>855</v>
      </c>
      <c r="L74" s="11" t="s">
        <v>856</v>
      </c>
      <c r="M74" s="11" t="s">
        <v>857</v>
      </c>
      <c r="N74" s="11" t="s">
        <v>858</v>
      </c>
      <c r="O74" s="8" t="s">
        <v>859</v>
      </c>
      <c r="P74" s="8" t="s">
        <v>81</v>
      </c>
      <c r="Q74" s="11"/>
      <c r="R74" s="8" t="s">
        <v>860</v>
      </c>
      <c r="S74" s="11" t="s">
        <v>861</v>
      </c>
      <c r="T74" s="8" t="s">
        <v>862</v>
      </c>
      <c r="U74" s="11" t="s">
        <v>85</v>
      </c>
      <c r="V74" s="8" t="s">
        <v>14</v>
      </c>
      <c r="W74" s="8"/>
      <c r="X74" s="8"/>
      <c r="Y74" s="12"/>
      <c r="Z74" s="8" t="s">
        <v>113</v>
      </c>
      <c r="AA74" s="8"/>
    </row>
    <row r="75" customFormat="false" ht="120" hidden="false" customHeight="true" outlineLevel="0" collapsed="false">
      <c r="A75" s="8" t="n">
        <v>74</v>
      </c>
      <c r="B75" s="9" t="n">
        <v>46338</v>
      </c>
      <c r="C75" s="8" t="str">
        <f aca="false">TEXT(B75,"ddd")</f>
        <v>Thu</v>
      </c>
      <c r="D75" s="8" t="s">
        <v>128</v>
      </c>
      <c r="E75" s="8" t="s">
        <v>129</v>
      </c>
      <c r="F75" s="10" t="s">
        <v>3</v>
      </c>
      <c r="G75" s="8" t="s">
        <v>10</v>
      </c>
      <c r="H75" s="8" t="s">
        <v>863</v>
      </c>
      <c r="I75" s="11" t="s">
        <v>864</v>
      </c>
      <c r="J75" s="11" t="s">
        <v>865</v>
      </c>
      <c r="K75" s="11" t="s">
        <v>866</v>
      </c>
      <c r="L75" s="11" t="s">
        <v>867</v>
      </c>
      <c r="M75" s="11" t="s">
        <v>868</v>
      </c>
      <c r="N75" s="11" t="s">
        <v>869</v>
      </c>
      <c r="O75" s="8" t="s">
        <v>870</v>
      </c>
      <c r="P75" s="8" t="s">
        <v>66</v>
      </c>
      <c r="Q75" s="11"/>
      <c r="R75" s="8" t="s">
        <v>871</v>
      </c>
      <c r="S75" s="11" t="s">
        <v>872</v>
      </c>
      <c r="T75" s="8" t="s">
        <v>873</v>
      </c>
      <c r="U75" s="11" t="s">
        <v>70</v>
      </c>
      <c r="V75" s="8" t="s">
        <v>14</v>
      </c>
      <c r="W75" s="8"/>
      <c r="X75" s="8"/>
      <c r="Y75" s="12"/>
      <c r="Z75" s="8" t="s">
        <v>113</v>
      </c>
      <c r="AA75" s="8"/>
    </row>
    <row r="76" customFormat="false" ht="120" hidden="false" customHeight="true" outlineLevel="0" collapsed="false">
      <c r="A76" s="8" t="n">
        <v>75</v>
      </c>
      <c r="B76" s="9" t="n">
        <v>46339</v>
      </c>
      <c r="C76" s="8" t="str">
        <f aca="false">TEXT(B76,"ddd")</f>
        <v>Fri</v>
      </c>
      <c r="D76" s="8" t="s">
        <v>233</v>
      </c>
      <c r="E76" s="8" t="s">
        <v>57</v>
      </c>
      <c r="F76" s="13" t="s">
        <v>4</v>
      </c>
      <c r="G76" s="8" t="s">
        <v>12</v>
      </c>
      <c r="H76" s="8" t="s">
        <v>874</v>
      </c>
      <c r="I76" s="11" t="s">
        <v>875</v>
      </c>
      <c r="J76" s="11" t="s">
        <v>876</v>
      </c>
      <c r="K76" s="11" t="s">
        <v>877</v>
      </c>
      <c r="L76" s="11" t="s">
        <v>878</v>
      </c>
      <c r="M76" s="11" t="s">
        <v>879</v>
      </c>
      <c r="N76" s="11" t="s">
        <v>880</v>
      </c>
      <c r="O76" s="8" t="s">
        <v>881</v>
      </c>
      <c r="P76" s="8" t="s">
        <v>81</v>
      </c>
      <c r="Q76" s="11"/>
      <c r="R76" s="8" t="s">
        <v>882</v>
      </c>
      <c r="S76" s="11" t="s">
        <v>883</v>
      </c>
      <c r="T76" s="8" t="s">
        <v>884</v>
      </c>
      <c r="U76" s="11" t="s">
        <v>85</v>
      </c>
      <c r="V76" s="8" t="s">
        <v>14</v>
      </c>
      <c r="W76" s="8"/>
      <c r="X76" s="8"/>
      <c r="Y76" s="12"/>
      <c r="Z76" s="8" t="s">
        <v>113</v>
      </c>
      <c r="AA76" s="8"/>
    </row>
    <row r="77" customFormat="false" ht="120" hidden="false" customHeight="true" outlineLevel="0" collapsed="false">
      <c r="A77" s="8" t="n">
        <v>76</v>
      </c>
      <c r="B77" s="9" t="n">
        <v>46339</v>
      </c>
      <c r="C77" s="8" t="str">
        <f aca="false">TEXT(B77,"ddd")</f>
        <v>Fri</v>
      </c>
      <c r="D77" s="8" t="s">
        <v>221</v>
      </c>
      <c r="E77" s="8" t="s">
        <v>188</v>
      </c>
      <c r="F77" s="10" t="s">
        <v>3</v>
      </c>
      <c r="G77" s="8" t="s">
        <v>11</v>
      </c>
      <c r="H77" s="8" t="s">
        <v>885</v>
      </c>
      <c r="I77" s="11" t="s">
        <v>886</v>
      </c>
      <c r="J77" s="11" t="s">
        <v>887</v>
      </c>
      <c r="K77" s="11" t="s">
        <v>888</v>
      </c>
      <c r="L77" s="11" t="s">
        <v>889</v>
      </c>
      <c r="M77" s="11" t="s">
        <v>890</v>
      </c>
      <c r="N77" s="11" t="s">
        <v>891</v>
      </c>
      <c r="O77" s="8" t="s">
        <v>892</v>
      </c>
      <c r="P77" s="8" t="s">
        <v>66</v>
      </c>
      <c r="Q77" s="11"/>
      <c r="R77" s="8" t="s">
        <v>893</v>
      </c>
      <c r="S77" s="11" t="s">
        <v>894</v>
      </c>
      <c r="T77" s="8" t="s">
        <v>895</v>
      </c>
      <c r="U77" s="11" t="s">
        <v>70</v>
      </c>
      <c r="V77" s="8" t="s">
        <v>14</v>
      </c>
      <c r="W77" s="8"/>
      <c r="X77" s="8"/>
      <c r="Y77" s="12"/>
      <c r="Z77" s="8" t="s">
        <v>71</v>
      </c>
      <c r="AA77" s="8"/>
    </row>
    <row r="78" customFormat="false" ht="120" hidden="false" customHeight="true" outlineLevel="0" collapsed="false">
      <c r="A78" s="8" t="n">
        <v>77</v>
      </c>
      <c r="B78" s="9" t="n">
        <v>46340</v>
      </c>
      <c r="C78" s="8" t="str">
        <f aca="false">TEXT(B78,"ddd")</f>
        <v>Sat</v>
      </c>
      <c r="D78" s="8" t="s">
        <v>56</v>
      </c>
      <c r="E78" s="8" t="s">
        <v>57</v>
      </c>
      <c r="F78" s="10" t="s">
        <v>3</v>
      </c>
      <c r="G78" s="8" t="s">
        <v>9</v>
      </c>
      <c r="H78" s="8" t="s">
        <v>703</v>
      </c>
      <c r="I78" s="11" t="s">
        <v>896</v>
      </c>
      <c r="J78" s="11" t="s">
        <v>897</v>
      </c>
      <c r="K78" s="11" t="s">
        <v>898</v>
      </c>
      <c r="L78" s="11" t="s">
        <v>899</v>
      </c>
      <c r="M78" s="11" t="s">
        <v>900</v>
      </c>
      <c r="N78" s="11" t="s">
        <v>901</v>
      </c>
      <c r="O78" s="8" t="s">
        <v>902</v>
      </c>
      <c r="P78" s="8" t="s">
        <v>66</v>
      </c>
      <c r="Q78" s="11"/>
      <c r="R78" s="8" t="s">
        <v>699</v>
      </c>
      <c r="S78" s="11" t="s">
        <v>83</v>
      </c>
      <c r="T78" s="8" t="s">
        <v>903</v>
      </c>
      <c r="U78" s="11" t="s">
        <v>70</v>
      </c>
      <c r="V78" s="8" t="s">
        <v>14</v>
      </c>
      <c r="W78" s="8"/>
      <c r="X78" s="8" t="s">
        <v>701</v>
      </c>
      <c r="Y78" s="12" t="s">
        <v>702</v>
      </c>
      <c r="Z78" s="8" t="s">
        <v>150</v>
      </c>
      <c r="AA78" s="8" t="s">
        <v>691</v>
      </c>
    </row>
    <row r="79" customFormat="false" ht="120" hidden="false" customHeight="true" outlineLevel="0" collapsed="false">
      <c r="A79" s="8" t="n">
        <v>78</v>
      </c>
      <c r="B79" s="9" t="n">
        <v>46340</v>
      </c>
      <c r="C79" s="8" t="str">
        <f aca="false">TEXT(B79,"ddd")</f>
        <v>Sat</v>
      </c>
      <c r="D79" s="8" t="s">
        <v>72</v>
      </c>
      <c r="E79" s="8" t="s">
        <v>57</v>
      </c>
      <c r="F79" s="13" t="s">
        <v>4</v>
      </c>
      <c r="G79" s="8" t="s">
        <v>9</v>
      </c>
      <c r="H79" s="8" t="s">
        <v>904</v>
      </c>
      <c r="I79" s="11" t="s">
        <v>905</v>
      </c>
      <c r="J79" s="11" t="s">
        <v>906</v>
      </c>
      <c r="K79" s="11" t="s">
        <v>907</v>
      </c>
      <c r="L79" s="11" t="s">
        <v>908</v>
      </c>
      <c r="M79" s="11" t="s">
        <v>909</v>
      </c>
      <c r="N79" s="11" t="s">
        <v>910</v>
      </c>
      <c r="O79" s="8" t="s">
        <v>911</v>
      </c>
      <c r="P79" s="8" t="s">
        <v>81</v>
      </c>
      <c r="Q79" s="11"/>
      <c r="R79" s="8" t="s">
        <v>912</v>
      </c>
      <c r="S79" s="11" t="s">
        <v>83</v>
      </c>
      <c r="T79" s="8" t="s">
        <v>913</v>
      </c>
      <c r="U79" s="11" t="s">
        <v>85</v>
      </c>
      <c r="V79" s="8" t="s">
        <v>14</v>
      </c>
      <c r="W79" s="8"/>
      <c r="X79" s="8" t="s">
        <v>914</v>
      </c>
      <c r="Y79" s="12" t="s">
        <v>915</v>
      </c>
      <c r="Z79" s="8" t="s">
        <v>88</v>
      </c>
      <c r="AA79" s="8" t="s">
        <v>916</v>
      </c>
    </row>
    <row r="80" customFormat="false" ht="120" hidden="false" customHeight="true" outlineLevel="0" collapsed="false">
      <c r="A80" s="8" t="n">
        <v>79</v>
      </c>
      <c r="B80" s="9" t="n">
        <v>46341</v>
      </c>
      <c r="C80" s="8" t="str">
        <f aca="false">TEXT(B80,"ddd")</f>
        <v>Sun</v>
      </c>
      <c r="D80" s="8" t="s">
        <v>56</v>
      </c>
      <c r="E80" s="8" t="s">
        <v>57</v>
      </c>
      <c r="F80" s="10" t="s">
        <v>3</v>
      </c>
      <c r="G80" s="8" t="s">
        <v>9</v>
      </c>
      <c r="H80" s="8" t="s">
        <v>917</v>
      </c>
      <c r="I80" s="11" t="s">
        <v>918</v>
      </c>
      <c r="J80" s="11" t="s">
        <v>919</v>
      </c>
      <c r="K80" s="11" t="s">
        <v>920</v>
      </c>
      <c r="L80" s="11" t="s">
        <v>921</v>
      </c>
      <c r="M80" s="11" t="s">
        <v>922</v>
      </c>
      <c r="N80" s="11" t="s">
        <v>923</v>
      </c>
      <c r="O80" s="8" t="s">
        <v>274</v>
      </c>
      <c r="P80" s="8" t="s">
        <v>66</v>
      </c>
      <c r="Q80" s="11"/>
      <c r="R80" s="8" t="s">
        <v>924</v>
      </c>
      <c r="S80" s="11" t="s">
        <v>925</v>
      </c>
      <c r="T80" s="8" t="s">
        <v>926</v>
      </c>
      <c r="U80" s="11" t="s">
        <v>70</v>
      </c>
      <c r="V80" s="8" t="s">
        <v>14</v>
      </c>
      <c r="W80" s="8"/>
      <c r="X80" s="8"/>
      <c r="Y80" s="12"/>
      <c r="Z80" s="8" t="s">
        <v>71</v>
      </c>
      <c r="AA80" s="8"/>
    </row>
    <row r="81" customFormat="false" ht="120" hidden="false" customHeight="true" outlineLevel="0" collapsed="false">
      <c r="A81" s="8" t="n">
        <v>80</v>
      </c>
      <c r="B81" s="9" t="n">
        <v>46341</v>
      </c>
      <c r="C81" s="8" t="str">
        <f aca="false">TEXT(B81,"ddd")</f>
        <v>Sun</v>
      </c>
      <c r="D81" s="8" t="s">
        <v>72</v>
      </c>
      <c r="E81" s="8" t="s">
        <v>57</v>
      </c>
      <c r="F81" s="10" t="s">
        <v>3</v>
      </c>
      <c r="G81" s="8" t="s">
        <v>9</v>
      </c>
      <c r="H81" s="8" t="s">
        <v>927</v>
      </c>
      <c r="I81" s="11" t="s">
        <v>928</v>
      </c>
      <c r="J81" s="11" t="s">
        <v>929</v>
      </c>
      <c r="K81" s="11" t="s">
        <v>930</v>
      </c>
      <c r="L81" s="11" t="s">
        <v>931</v>
      </c>
      <c r="M81" s="11" t="s">
        <v>932</v>
      </c>
      <c r="N81" s="11" t="s">
        <v>933</v>
      </c>
      <c r="O81" s="8" t="s">
        <v>934</v>
      </c>
      <c r="P81" s="8" t="s">
        <v>66</v>
      </c>
      <c r="Q81" s="11"/>
      <c r="R81" s="8" t="s">
        <v>935</v>
      </c>
      <c r="S81" s="11" t="s">
        <v>173</v>
      </c>
      <c r="T81" s="8" t="s">
        <v>936</v>
      </c>
      <c r="U81" s="11" t="s">
        <v>70</v>
      </c>
      <c r="V81" s="8" t="s">
        <v>14</v>
      </c>
      <c r="W81" s="8"/>
      <c r="X81" s="8" t="s">
        <v>701</v>
      </c>
      <c r="Y81" s="12" t="s">
        <v>702</v>
      </c>
      <c r="Z81" s="8" t="s">
        <v>175</v>
      </c>
      <c r="AA81" s="8"/>
    </row>
    <row r="82" customFormat="false" ht="120" hidden="false" customHeight="true" outlineLevel="0" collapsed="false">
      <c r="A82" s="8" t="n">
        <v>81</v>
      </c>
      <c r="B82" s="9" t="n">
        <v>46342</v>
      </c>
      <c r="C82" s="8" t="str">
        <f aca="false">TEXT(B82,"ddd")</f>
        <v>Mon</v>
      </c>
      <c r="D82" s="8" t="s">
        <v>255</v>
      </c>
      <c r="E82" s="8" t="s">
        <v>129</v>
      </c>
      <c r="F82" s="10" t="s">
        <v>3</v>
      </c>
      <c r="G82" s="8" t="s">
        <v>10</v>
      </c>
      <c r="H82" s="8" t="s">
        <v>937</v>
      </c>
      <c r="I82" s="11" t="s">
        <v>938</v>
      </c>
      <c r="J82" s="11" t="s">
        <v>939</v>
      </c>
      <c r="K82" s="11" t="s">
        <v>940</v>
      </c>
      <c r="L82" s="11" t="s">
        <v>941</v>
      </c>
      <c r="M82" s="11" t="s">
        <v>942</v>
      </c>
      <c r="N82" s="11" t="s">
        <v>943</v>
      </c>
      <c r="O82" s="8" t="s">
        <v>491</v>
      </c>
      <c r="P82" s="8" t="s">
        <v>66</v>
      </c>
      <c r="Q82" s="11"/>
      <c r="R82" s="8" t="s">
        <v>944</v>
      </c>
      <c r="S82" s="11" t="s">
        <v>945</v>
      </c>
      <c r="T82" s="8" t="s">
        <v>946</v>
      </c>
      <c r="U82" s="11" t="s">
        <v>70</v>
      </c>
      <c r="V82" s="8" t="s">
        <v>14</v>
      </c>
      <c r="W82" s="8"/>
      <c r="X82" s="8"/>
      <c r="Y82" s="12"/>
      <c r="Z82" s="8" t="s">
        <v>71</v>
      </c>
      <c r="AA82" s="8"/>
    </row>
    <row r="83" customFormat="false" ht="120" hidden="false" customHeight="true" outlineLevel="0" collapsed="false">
      <c r="A83" s="8" t="n">
        <v>82</v>
      </c>
      <c r="B83" s="9" t="n">
        <v>46342</v>
      </c>
      <c r="C83" s="8" t="str">
        <f aca="false">TEXT(B83,"ddd")</f>
        <v>Mon</v>
      </c>
      <c r="D83" s="8" t="s">
        <v>128</v>
      </c>
      <c r="E83" s="8" t="s">
        <v>129</v>
      </c>
      <c r="F83" s="13" t="s">
        <v>4</v>
      </c>
      <c r="G83" s="8" t="s">
        <v>10</v>
      </c>
      <c r="H83" s="8" t="s">
        <v>947</v>
      </c>
      <c r="I83" s="11" t="s">
        <v>948</v>
      </c>
      <c r="J83" s="11" t="s">
        <v>949</v>
      </c>
      <c r="K83" s="11" t="s">
        <v>950</v>
      </c>
      <c r="L83" s="11" t="s">
        <v>951</v>
      </c>
      <c r="M83" s="11" t="s">
        <v>952</v>
      </c>
      <c r="N83" s="11" t="s">
        <v>953</v>
      </c>
      <c r="O83" s="8" t="s">
        <v>183</v>
      </c>
      <c r="P83" s="8" t="s">
        <v>81</v>
      </c>
      <c r="Q83" s="11"/>
      <c r="R83" s="8" t="s">
        <v>954</v>
      </c>
      <c r="S83" s="11" t="s">
        <v>955</v>
      </c>
      <c r="T83" s="8" t="s">
        <v>956</v>
      </c>
      <c r="U83" s="11" t="s">
        <v>85</v>
      </c>
      <c r="V83" s="8" t="s">
        <v>14</v>
      </c>
      <c r="W83" s="8"/>
      <c r="X83" s="8" t="s">
        <v>957</v>
      </c>
      <c r="Y83" s="12" t="s">
        <v>958</v>
      </c>
      <c r="Z83" s="8" t="s">
        <v>88</v>
      </c>
      <c r="AA83" s="8" t="s">
        <v>959</v>
      </c>
    </row>
    <row r="84" customFormat="false" ht="120" hidden="false" customHeight="true" outlineLevel="0" collapsed="false">
      <c r="A84" s="8" t="n">
        <v>83</v>
      </c>
      <c r="B84" s="9" t="n">
        <v>46343</v>
      </c>
      <c r="C84" s="8" t="str">
        <f aca="false">TEXT(B84,"ddd")</f>
        <v>Tue</v>
      </c>
      <c r="D84" s="8" t="s">
        <v>56</v>
      </c>
      <c r="E84" s="8" t="s">
        <v>57</v>
      </c>
      <c r="F84" s="13" t="s">
        <v>4</v>
      </c>
      <c r="G84" s="8" t="s">
        <v>9</v>
      </c>
      <c r="H84" s="8" t="s">
        <v>960</v>
      </c>
      <c r="I84" s="11" t="s">
        <v>961</v>
      </c>
      <c r="J84" s="11" t="s">
        <v>962</v>
      </c>
      <c r="K84" s="11" t="s">
        <v>963</v>
      </c>
      <c r="L84" s="11" t="s">
        <v>964</v>
      </c>
      <c r="M84" s="11" t="s">
        <v>965</v>
      </c>
      <c r="N84" s="11" t="s">
        <v>966</v>
      </c>
      <c r="O84" s="8" t="s">
        <v>967</v>
      </c>
      <c r="P84" s="8" t="s">
        <v>81</v>
      </c>
      <c r="Q84" s="11"/>
      <c r="R84" s="8" t="s">
        <v>968</v>
      </c>
      <c r="S84" s="11" t="s">
        <v>969</v>
      </c>
      <c r="T84" s="8" t="s">
        <v>970</v>
      </c>
      <c r="U84" s="11" t="s">
        <v>85</v>
      </c>
      <c r="V84" s="8" t="s">
        <v>14</v>
      </c>
      <c r="W84" s="8"/>
      <c r="X84" s="8"/>
      <c r="Y84" s="12"/>
      <c r="Z84" s="8" t="s">
        <v>71</v>
      </c>
      <c r="AA84" s="8"/>
    </row>
    <row r="85" customFormat="false" ht="120" hidden="false" customHeight="true" outlineLevel="0" collapsed="false">
      <c r="A85" s="8" t="n">
        <v>84</v>
      </c>
      <c r="B85" s="9" t="n">
        <v>46343</v>
      </c>
      <c r="C85" s="8" t="str">
        <f aca="false">TEXT(B85,"ddd")</f>
        <v>Tue</v>
      </c>
      <c r="D85" s="8" t="s">
        <v>221</v>
      </c>
      <c r="E85" s="8" t="s">
        <v>188</v>
      </c>
      <c r="F85" s="10" t="s">
        <v>3</v>
      </c>
      <c r="G85" s="8" t="s">
        <v>11</v>
      </c>
      <c r="H85" s="8" t="s">
        <v>971</v>
      </c>
      <c r="I85" s="11" t="s">
        <v>972</v>
      </c>
      <c r="J85" s="11" t="s">
        <v>973</v>
      </c>
      <c r="K85" s="11" t="s">
        <v>974</v>
      </c>
      <c r="L85" s="11" t="s">
        <v>975</v>
      </c>
      <c r="M85" s="11" t="s">
        <v>976</v>
      </c>
      <c r="N85" s="11" t="s">
        <v>977</v>
      </c>
      <c r="O85" s="8" t="s">
        <v>978</v>
      </c>
      <c r="P85" s="8" t="s">
        <v>66</v>
      </c>
      <c r="Q85" s="11"/>
      <c r="R85" s="8" t="s">
        <v>979</v>
      </c>
      <c r="S85" s="11" t="s">
        <v>980</v>
      </c>
      <c r="T85" s="8" t="s">
        <v>981</v>
      </c>
      <c r="U85" s="11" t="s">
        <v>70</v>
      </c>
      <c r="V85" s="8" t="s">
        <v>14</v>
      </c>
      <c r="W85" s="8"/>
      <c r="X85" s="8"/>
      <c r="Y85" s="12"/>
      <c r="Z85" s="8" t="s">
        <v>71</v>
      </c>
      <c r="AA85" s="8"/>
    </row>
    <row r="86" customFormat="false" ht="120" hidden="false" customHeight="true" outlineLevel="0" collapsed="false">
      <c r="A86" s="8" t="n">
        <v>85</v>
      </c>
      <c r="B86" s="9" t="n">
        <v>46344</v>
      </c>
      <c r="C86" s="8" t="str">
        <f aca="false">TEXT(B86,"ddd")</f>
        <v>Wed</v>
      </c>
      <c r="D86" s="8" t="s">
        <v>56</v>
      </c>
      <c r="E86" s="8" t="s">
        <v>57</v>
      </c>
      <c r="F86" s="10" t="s">
        <v>3</v>
      </c>
      <c r="G86" s="8" t="s">
        <v>9</v>
      </c>
      <c r="H86" s="8" t="s">
        <v>982</v>
      </c>
      <c r="I86" s="11" t="s">
        <v>983</v>
      </c>
      <c r="J86" s="11" t="s">
        <v>984</v>
      </c>
      <c r="K86" s="11" t="s">
        <v>985</v>
      </c>
      <c r="L86" s="11" t="s">
        <v>986</v>
      </c>
      <c r="M86" s="11" t="s">
        <v>987</v>
      </c>
      <c r="N86" s="11" t="s">
        <v>988</v>
      </c>
      <c r="O86" s="8" t="s">
        <v>274</v>
      </c>
      <c r="P86" s="8" t="s">
        <v>66</v>
      </c>
      <c r="Q86" s="11"/>
      <c r="R86" s="8" t="s">
        <v>989</v>
      </c>
      <c r="S86" s="11" t="s">
        <v>990</v>
      </c>
      <c r="T86" s="8" t="s">
        <v>991</v>
      </c>
      <c r="U86" s="11" t="s">
        <v>70</v>
      </c>
      <c r="V86" s="8" t="s">
        <v>14</v>
      </c>
      <c r="W86" s="8"/>
      <c r="X86" s="8"/>
      <c r="Y86" s="12"/>
      <c r="Z86" s="8" t="s">
        <v>71</v>
      </c>
      <c r="AA86" s="8"/>
    </row>
    <row r="87" customFormat="false" ht="120" hidden="false" customHeight="true" outlineLevel="0" collapsed="false">
      <c r="A87" s="8" t="n">
        <v>86</v>
      </c>
      <c r="B87" s="9" t="n">
        <v>46344</v>
      </c>
      <c r="C87" s="8" t="str">
        <f aca="false">TEXT(B87,"ddd")</f>
        <v>Wed</v>
      </c>
      <c r="D87" s="8" t="s">
        <v>128</v>
      </c>
      <c r="E87" s="8" t="s">
        <v>129</v>
      </c>
      <c r="F87" s="13" t="s">
        <v>4</v>
      </c>
      <c r="G87" s="8" t="s">
        <v>10</v>
      </c>
      <c r="H87" s="8" t="s">
        <v>992</v>
      </c>
      <c r="I87" s="11" t="s">
        <v>993</v>
      </c>
      <c r="J87" s="11" t="s">
        <v>994</v>
      </c>
      <c r="K87" s="11" t="s">
        <v>995</v>
      </c>
      <c r="L87" s="11" t="s">
        <v>996</v>
      </c>
      <c r="M87" s="11" t="s">
        <v>997</v>
      </c>
      <c r="N87" s="11" t="s">
        <v>998</v>
      </c>
      <c r="O87" s="8" t="s">
        <v>999</v>
      </c>
      <c r="P87" s="8" t="s">
        <v>81</v>
      </c>
      <c r="Q87" s="11"/>
      <c r="R87" s="8" t="s">
        <v>1000</v>
      </c>
      <c r="S87" s="11" t="s">
        <v>1001</v>
      </c>
      <c r="T87" s="8" t="s">
        <v>1002</v>
      </c>
      <c r="U87" s="11" t="s">
        <v>85</v>
      </c>
      <c r="V87" s="8" t="s">
        <v>14</v>
      </c>
      <c r="W87" s="8"/>
      <c r="X87" s="8"/>
      <c r="Y87" s="12"/>
      <c r="Z87" s="8" t="s">
        <v>71</v>
      </c>
      <c r="AA87" s="8"/>
    </row>
    <row r="88" customFormat="false" ht="120" hidden="false" customHeight="true" outlineLevel="0" collapsed="false">
      <c r="A88" s="8" t="n">
        <v>87</v>
      </c>
      <c r="B88" s="9" t="n">
        <v>46345</v>
      </c>
      <c r="C88" s="8" t="str">
        <f aca="false">TEXT(B88,"ddd")</f>
        <v>Thu</v>
      </c>
      <c r="D88" s="8" t="s">
        <v>56</v>
      </c>
      <c r="E88" s="8" t="s">
        <v>57</v>
      </c>
      <c r="F88" s="14" t="s">
        <v>5</v>
      </c>
      <c r="G88" s="8" t="s">
        <v>9</v>
      </c>
      <c r="H88" s="8" t="s">
        <v>829</v>
      </c>
      <c r="I88" s="11" t="s">
        <v>1003</v>
      </c>
      <c r="J88" s="11" t="s">
        <v>1004</v>
      </c>
      <c r="K88" s="11" t="s">
        <v>1005</v>
      </c>
      <c r="L88" s="11" t="s">
        <v>1006</v>
      </c>
      <c r="M88" s="11" t="s">
        <v>1007</v>
      </c>
      <c r="N88" s="11" t="s">
        <v>1008</v>
      </c>
      <c r="O88" s="8" t="s">
        <v>274</v>
      </c>
      <c r="P88" s="8" t="s">
        <v>122</v>
      </c>
      <c r="Q88" s="11" t="s">
        <v>1009</v>
      </c>
      <c r="R88" s="8" t="s">
        <v>825</v>
      </c>
      <c r="S88" s="11" t="s">
        <v>83</v>
      </c>
      <c r="T88" s="8" t="s">
        <v>1010</v>
      </c>
      <c r="U88" s="11" t="s">
        <v>127</v>
      </c>
      <c r="V88" s="8" t="s">
        <v>14</v>
      </c>
      <c r="W88" s="8"/>
      <c r="X88" s="8" t="s">
        <v>827</v>
      </c>
      <c r="Y88" s="12" t="s">
        <v>828</v>
      </c>
      <c r="Z88" s="8" t="s">
        <v>150</v>
      </c>
      <c r="AA88" s="8" t="s">
        <v>818</v>
      </c>
    </row>
    <row r="89" customFormat="false" ht="120" hidden="false" customHeight="true" outlineLevel="0" collapsed="false">
      <c r="A89" s="8" t="n">
        <v>88</v>
      </c>
      <c r="B89" s="9" t="n">
        <v>46345</v>
      </c>
      <c r="C89" s="8" t="str">
        <f aca="false">TEXT(B89,"ddd")</f>
        <v>Thu</v>
      </c>
      <c r="D89" s="8" t="s">
        <v>128</v>
      </c>
      <c r="E89" s="8" t="s">
        <v>129</v>
      </c>
      <c r="F89" s="14" t="s">
        <v>5</v>
      </c>
      <c r="G89" s="8" t="s">
        <v>10</v>
      </c>
      <c r="H89" s="8" t="s">
        <v>1011</v>
      </c>
      <c r="I89" s="11" t="s">
        <v>1012</v>
      </c>
      <c r="J89" s="11" t="s">
        <v>1013</v>
      </c>
      <c r="K89" s="11" t="s">
        <v>1014</v>
      </c>
      <c r="L89" s="11" t="s">
        <v>1015</v>
      </c>
      <c r="M89" s="11" t="s">
        <v>1016</v>
      </c>
      <c r="N89" s="11" t="s">
        <v>1017</v>
      </c>
      <c r="O89" s="8" t="s">
        <v>206</v>
      </c>
      <c r="P89" s="8" t="s">
        <v>122</v>
      </c>
      <c r="Q89" s="11" t="s">
        <v>1018</v>
      </c>
      <c r="R89" s="8" t="s">
        <v>1019</v>
      </c>
      <c r="S89" s="11" t="s">
        <v>1020</v>
      </c>
      <c r="T89" s="8" t="s">
        <v>1021</v>
      </c>
      <c r="U89" s="11" t="s">
        <v>127</v>
      </c>
      <c r="V89" s="8" t="s">
        <v>14</v>
      </c>
      <c r="W89" s="8"/>
      <c r="X89" s="8"/>
      <c r="Y89" s="12"/>
      <c r="Z89" s="8" t="s">
        <v>71</v>
      </c>
      <c r="AA89" s="8"/>
    </row>
    <row r="90" customFormat="false" ht="120" hidden="false" customHeight="true" outlineLevel="0" collapsed="false">
      <c r="A90" s="8" t="n">
        <v>89</v>
      </c>
      <c r="B90" s="9" t="n">
        <v>46346</v>
      </c>
      <c r="C90" s="8" t="str">
        <f aca="false">TEXT(B90,"ddd")</f>
        <v>Fri</v>
      </c>
      <c r="D90" s="8" t="s">
        <v>56</v>
      </c>
      <c r="E90" s="8" t="s">
        <v>57</v>
      </c>
      <c r="F90" s="10" t="s">
        <v>3</v>
      </c>
      <c r="G90" s="8" t="s">
        <v>9</v>
      </c>
      <c r="H90" s="8" t="s">
        <v>1022</v>
      </c>
      <c r="I90" s="11" t="s">
        <v>1023</v>
      </c>
      <c r="J90" s="11" t="s">
        <v>1024</v>
      </c>
      <c r="K90" s="11" t="s">
        <v>1025</v>
      </c>
      <c r="L90" s="11" t="s">
        <v>1026</v>
      </c>
      <c r="M90" s="11" t="s">
        <v>1027</v>
      </c>
      <c r="N90" s="11" t="s">
        <v>1028</v>
      </c>
      <c r="O90" s="8" t="s">
        <v>1029</v>
      </c>
      <c r="P90" s="8" t="s">
        <v>66</v>
      </c>
      <c r="Q90" s="11"/>
      <c r="R90" s="8" t="s">
        <v>1030</v>
      </c>
      <c r="S90" s="11" t="s">
        <v>1031</v>
      </c>
      <c r="T90" s="8" t="s">
        <v>1032</v>
      </c>
      <c r="U90" s="11" t="s">
        <v>70</v>
      </c>
      <c r="V90" s="8" t="s">
        <v>14</v>
      </c>
      <c r="W90" s="8"/>
      <c r="X90" s="8" t="s">
        <v>827</v>
      </c>
      <c r="Y90" s="12" t="s">
        <v>828</v>
      </c>
      <c r="Z90" s="8" t="s">
        <v>175</v>
      </c>
      <c r="AA90" s="8"/>
    </row>
    <row r="91" customFormat="false" ht="120" hidden="false" customHeight="true" outlineLevel="0" collapsed="false">
      <c r="A91" s="8" t="n">
        <v>90</v>
      </c>
      <c r="B91" s="9" t="n">
        <v>46346</v>
      </c>
      <c r="C91" s="8" t="str">
        <f aca="false">TEXT(B91,"ddd")</f>
        <v>Fri</v>
      </c>
      <c r="D91" s="8" t="s">
        <v>128</v>
      </c>
      <c r="E91" s="8" t="s">
        <v>129</v>
      </c>
      <c r="F91" s="10" t="s">
        <v>3</v>
      </c>
      <c r="G91" s="8" t="s">
        <v>10</v>
      </c>
      <c r="H91" s="8" t="s">
        <v>1033</v>
      </c>
      <c r="I91" s="11" t="s">
        <v>1034</v>
      </c>
      <c r="J91" s="11" t="s">
        <v>1035</v>
      </c>
      <c r="K91" s="11" t="s">
        <v>1036</v>
      </c>
      <c r="L91" s="11" t="s">
        <v>1037</v>
      </c>
      <c r="M91" s="11" t="s">
        <v>1038</v>
      </c>
      <c r="N91" s="11" t="s">
        <v>1039</v>
      </c>
      <c r="O91" s="8" t="s">
        <v>491</v>
      </c>
      <c r="P91" s="8" t="s">
        <v>66</v>
      </c>
      <c r="Q91" s="11"/>
      <c r="R91" s="8" t="s">
        <v>1040</v>
      </c>
      <c r="S91" s="11" t="s">
        <v>1041</v>
      </c>
      <c r="T91" s="8" t="s">
        <v>1042</v>
      </c>
      <c r="U91" s="11" t="s">
        <v>70</v>
      </c>
      <c r="V91" s="8" t="s">
        <v>14</v>
      </c>
      <c r="W91" s="8"/>
      <c r="X91" s="8"/>
      <c r="Y91" s="12"/>
      <c r="Z91" s="8" t="s">
        <v>71</v>
      </c>
      <c r="AA91" s="8"/>
    </row>
    <row r="92" customFormat="false" ht="120" hidden="false" customHeight="true" outlineLevel="0" collapsed="false">
      <c r="A92" s="8" t="n">
        <v>91</v>
      </c>
      <c r="B92" s="9" t="n">
        <v>46347</v>
      </c>
      <c r="C92" s="8" t="str">
        <f aca="false">TEXT(B92,"ddd")</f>
        <v>Sat</v>
      </c>
      <c r="D92" s="8" t="s">
        <v>187</v>
      </c>
      <c r="E92" s="8" t="s">
        <v>188</v>
      </c>
      <c r="F92" s="13" t="s">
        <v>4</v>
      </c>
      <c r="G92" s="8" t="s">
        <v>11</v>
      </c>
      <c r="H92" s="8" t="s">
        <v>1043</v>
      </c>
      <c r="I92" s="11" t="s">
        <v>1044</v>
      </c>
      <c r="J92" s="11" t="s">
        <v>1045</v>
      </c>
      <c r="K92" s="11" t="s">
        <v>1046</v>
      </c>
      <c r="L92" s="11" t="s">
        <v>1047</v>
      </c>
      <c r="M92" s="11" t="s">
        <v>1048</v>
      </c>
      <c r="N92" s="11" t="s">
        <v>1049</v>
      </c>
      <c r="O92" s="8" t="s">
        <v>1050</v>
      </c>
      <c r="P92" s="8" t="s">
        <v>81</v>
      </c>
      <c r="Q92" s="11"/>
      <c r="R92" s="8" t="s">
        <v>1051</v>
      </c>
      <c r="S92" s="11" t="s">
        <v>1052</v>
      </c>
      <c r="T92" s="8" t="s">
        <v>1053</v>
      </c>
      <c r="U92" s="11" t="s">
        <v>85</v>
      </c>
      <c r="V92" s="8" t="s">
        <v>14</v>
      </c>
      <c r="W92" s="8"/>
      <c r="X92" s="8"/>
      <c r="Y92" s="12"/>
      <c r="Z92" s="8" t="s">
        <v>113</v>
      </c>
      <c r="AA92" s="8"/>
    </row>
    <row r="93" customFormat="false" ht="120" hidden="false" customHeight="true" outlineLevel="0" collapsed="false">
      <c r="A93" s="8" t="n">
        <v>92</v>
      </c>
      <c r="B93" s="9" t="n">
        <v>46347</v>
      </c>
      <c r="C93" s="8" t="str">
        <f aca="false">TEXT(B93,"ddd")</f>
        <v>Sat</v>
      </c>
      <c r="D93" s="8" t="s">
        <v>221</v>
      </c>
      <c r="E93" s="8" t="s">
        <v>188</v>
      </c>
      <c r="F93" s="10" t="s">
        <v>3</v>
      </c>
      <c r="G93" s="8" t="s">
        <v>11</v>
      </c>
      <c r="H93" s="8" t="s">
        <v>1054</v>
      </c>
      <c r="I93" s="11" t="s">
        <v>1055</v>
      </c>
      <c r="J93" s="11" t="s">
        <v>1056</v>
      </c>
      <c r="K93" s="11" t="s">
        <v>1057</v>
      </c>
      <c r="L93" s="11" t="s">
        <v>1058</v>
      </c>
      <c r="M93" s="11" t="s">
        <v>1059</v>
      </c>
      <c r="N93" s="11" t="s">
        <v>1060</v>
      </c>
      <c r="O93" s="8" t="s">
        <v>1061</v>
      </c>
      <c r="P93" s="8" t="s">
        <v>66</v>
      </c>
      <c r="Q93" s="11"/>
      <c r="R93" s="8" t="s">
        <v>1062</v>
      </c>
      <c r="S93" s="11" t="s">
        <v>1063</v>
      </c>
      <c r="T93" s="8" t="s">
        <v>1064</v>
      </c>
      <c r="U93" s="11" t="s">
        <v>70</v>
      </c>
      <c r="V93" s="8" t="s">
        <v>14</v>
      </c>
      <c r="W93" s="8"/>
      <c r="X93" s="8"/>
      <c r="Y93" s="12"/>
      <c r="Z93" s="8" t="s">
        <v>113</v>
      </c>
      <c r="AA93" s="8"/>
    </row>
    <row r="94" customFormat="false" ht="120" hidden="false" customHeight="true" outlineLevel="0" collapsed="false">
      <c r="A94" s="8" t="n">
        <v>93</v>
      </c>
      <c r="B94" s="9" t="n">
        <v>46348</v>
      </c>
      <c r="C94" s="8" t="str">
        <f aca="false">TEXT(B94,"ddd")</f>
        <v>Sun</v>
      </c>
      <c r="D94" s="8" t="s">
        <v>56</v>
      </c>
      <c r="E94" s="8" t="s">
        <v>57</v>
      </c>
      <c r="F94" s="10" t="s">
        <v>3</v>
      </c>
      <c r="G94" s="8" t="s">
        <v>9</v>
      </c>
      <c r="H94" s="8" t="s">
        <v>1065</v>
      </c>
      <c r="I94" s="11" t="s">
        <v>1066</v>
      </c>
      <c r="J94" s="11" t="s">
        <v>1067</v>
      </c>
      <c r="K94" s="11" t="s">
        <v>1068</v>
      </c>
      <c r="L94" s="11" t="s">
        <v>1069</v>
      </c>
      <c r="M94" s="11" t="s">
        <v>1070</v>
      </c>
      <c r="N94" s="11" t="s">
        <v>1071</v>
      </c>
      <c r="O94" s="8" t="s">
        <v>1072</v>
      </c>
      <c r="P94" s="8" t="s">
        <v>66</v>
      </c>
      <c r="Q94" s="11"/>
      <c r="R94" s="8" t="s">
        <v>1073</v>
      </c>
      <c r="S94" s="11" t="s">
        <v>1074</v>
      </c>
      <c r="T94" s="8" t="s">
        <v>1075</v>
      </c>
      <c r="U94" s="11" t="s">
        <v>70</v>
      </c>
      <c r="V94" s="8" t="s">
        <v>14</v>
      </c>
      <c r="W94" s="8"/>
      <c r="X94" s="8"/>
      <c r="Y94" s="12"/>
      <c r="Z94" s="8" t="s">
        <v>71</v>
      </c>
      <c r="AA94" s="8"/>
    </row>
    <row r="95" customFormat="false" ht="120" hidden="false" customHeight="true" outlineLevel="0" collapsed="false">
      <c r="A95" s="8" t="n">
        <v>94</v>
      </c>
      <c r="B95" s="9" t="n">
        <v>46348</v>
      </c>
      <c r="C95" s="8" t="str">
        <f aca="false">TEXT(B95,"ddd")</f>
        <v>Sun</v>
      </c>
      <c r="D95" s="8" t="s">
        <v>101</v>
      </c>
      <c r="E95" s="8" t="s">
        <v>57</v>
      </c>
      <c r="F95" s="13" t="s">
        <v>4</v>
      </c>
      <c r="G95" s="8" t="s">
        <v>12</v>
      </c>
      <c r="H95" s="8" t="s">
        <v>1076</v>
      </c>
      <c r="I95" s="11" t="s">
        <v>1077</v>
      </c>
      <c r="J95" s="11" t="s">
        <v>1078</v>
      </c>
      <c r="K95" s="11" t="s">
        <v>1079</v>
      </c>
      <c r="L95" s="11" t="s">
        <v>1080</v>
      </c>
      <c r="M95" s="11" t="s">
        <v>1081</v>
      </c>
      <c r="N95" s="11" t="s">
        <v>1082</v>
      </c>
      <c r="O95" s="8" t="s">
        <v>1083</v>
      </c>
      <c r="P95" s="8" t="s">
        <v>81</v>
      </c>
      <c r="Q95" s="11"/>
      <c r="R95" s="8" t="s">
        <v>1084</v>
      </c>
      <c r="S95" s="11" t="s">
        <v>1085</v>
      </c>
      <c r="T95" s="8" t="s">
        <v>1086</v>
      </c>
      <c r="U95" s="11" t="s">
        <v>85</v>
      </c>
      <c r="V95" s="8" t="s">
        <v>14</v>
      </c>
      <c r="W95" s="8"/>
      <c r="X95" s="8"/>
      <c r="Y95" s="12"/>
      <c r="Z95" s="8" t="s">
        <v>113</v>
      </c>
      <c r="AA95" s="8"/>
    </row>
    <row r="96" customFormat="false" ht="120" hidden="false" customHeight="true" outlineLevel="0" collapsed="false">
      <c r="A96" s="8" t="n">
        <v>95</v>
      </c>
      <c r="B96" s="9" t="n">
        <v>46349</v>
      </c>
      <c r="C96" s="8" t="str">
        <f aca="false">TEXT(B96,"ddd")</f>
        <v>Mon</v>
      </c>
      <c r="D96" s="8" t="s">
        <v>56</v>
      </c>
      <c r="E96" s="8" t="s">
        <v>57</v>
      </c>
      <c r="F96" s="13" t="s">
        <v>4</v>
      </c>
      <c r="G96" s="8" t="s">
        <v>9</v>
      </c>
      <c r="H96" s="8" t="s">
        <v>1087</v>
      </c>
      <c r="I96" s="11" t="s">
        <v>1088</v>
      </c>
      <c r="J96" s="11" t="s">
        <v>1089</v>
      </c>
      <c r="K96" s="11" t="s">
        <v>1090</v>
      </c>
      <c r="L96" s="11" t="s">
        <v>1091</v>
      </c>
      <c r="M96" s="11" t="s">
        <v>1092</v>
      </c>
      <c r="N96" s="11" t="s">
        <v>1093</v>
      </c>
      <c r="O96" s="8" t="s">
        <v>121</v>
      </c>
      <c r="P96" s="8" t="s">
        <v>81</v>
      </c>
      <c r="Q96" s="11"/>
      <c r="R96" s="8" t="s">
        <v>1094</v>
      </c>
      <c r="S96" s="11" t="s">
        <v>1095</v>
      </c>
      <c r="T96" s="8" t="s">
        <v>1096</v>
      </c>
      <c r="U96" s="11" t="s">
        <v>85</v>
      </c>
      <c r="V96" s="8" t="s">
        <v>14</v>
      </c>
      <c r="W96" s="8"/>
      <c r="X96" s="8"/>
      <c r="Y96" s="12"/>
      <c r="Z96" s="8" t="s">
        <v>71</v>
      </c>
      <c r="AA96" s="8"/>
    </row>
    <row r="97" customFormat="false" ht="120" hidden="false" customHeight="true" outlineLevel="0" collapsed="false">
      <c r="A97" s="8" t="n">
        <v>96</v>
      </c>
      <c r="B97" s="9" t="n">
        <v>46349</v>
      </c>
      <c r="C97" s="8" t="str">
        <f aca="false">TEXT(B97,"ddd")</f>
        <v>Mon</v>
      </c>
      <c r="D97" s="8" t="s">
        <v>72</v>
      </c>
      <c r="E97" s="8" t="s">
        <v>57</v>
      </c>
      <c r="F97" s="10" t="s">
        <v>3</v>
      </c>
      <c r="G97" s="8" t="s">
        <v>9</v>
      </c>
      <c r="H97" s="8" t="s">
        <v>916</v>
      </c>
      <c r="I97" s="11" t="s">
        <v>1097</v>
      </c>
      <c r="J97" s="11" t="s">
        <v>1098</v>
      </c>
      <c r="K97" s="11" t="s">
        <v>1099</v>
      </c>
      <c r="L97" s="11" t="s">
        <v>1100</v>
      </c>
      <c r="M97" s="11" t="s">
        <v>1101</v>
      </c>
      <c r="N97" s="11" t="s">
        <v>1102</v>
      </c>
      <c r="O97" s="8" t="s">
        <v>436</v>
      </c>
      <c r="P97" s="8" t="s">
        <v>66</v>
      </c>
      <c r="Q97" s="11"/>
      <c r="R97" s="8" t="s">
        <v>912</v>
      </c>
      <c r="S97" s="11" t="s">
        <v>83</v>
      </c>
      <c r="T97" s="8" t="s">
        <v>1103</v>
      </c>
      <c r="U97" s="11" t="s">
        <v>70</v>
      </c>
      <c r="V97" s="8" t="s">
        <v>14</v>
      </c>
      <c r="W97" s="8"/>
      <c r="X97" s="8" t="s">
        <v>914</v>
      </c>
      <c r="Y97" s="12" t="s">
        <v>915</v>
      </c>
      <c r="Z97" s="8" t="s">
        <v>150</v>
      </c>
      <c r="AA97" s="8" t="s">
        <v>904</v>
      </c>
    </row>
    <row r="98" customFormat="false" ht="120" hidden="false" customHeight="true" outlineLevel="0" collapsed="false">
      <c r="A98" s="8" t="n">
        <v>97</v>
      </c>
      <c r="B98" s="9" t="n">
        <v>46350</v>
      </c>
      <c r="C98" s="8" t="str">
        <f aca="false">TEXT(B98,"ddd")</f>
        <v>Tue</v>
      </c>
      <c r="D98" s="8" t="s">
        <v>56</v>
      </c>
      <c r="E98" s="8" t="s">
        <v>57</v>
      </c>
      <c r="F98" s="10" t="s">
        <v>3</v>
      </c>
      <c r="G98" s="8" t="s">
        <v>9</v>
      </c>
      <c r="H98" s="8" t="s">
        <v>1104</v>
      </c>
      <c r="I98" s="11" t="s">
        <v>1105</v>
      </c>
      <c r="J98" s="11" t="s">
        <v>1106</v>
      </c>
      <c r="K98" s="11" t="s">
        <v>1107</v>
      </c>
      <c r="L98" s="11" t="s">
        <v>1108</v>
      </c>
      <c r="M98" s="11" t="s">
        <v>1109</v>
      </c>
      <c r="N98" s="11" t="s">
        <v>1110</v>
      </c>
      <c r="O98" s="8" t="s">
        <v>1111</v>
      </c>
      <c r="P98" s="8" t="s">
        <v>66</v>
      </c>
      <c r="Q98" s="11"/>
      <c r="R98" s="8" t="s">
        <v>1112</v>
      </c>
      <c r="S98" s="11" t="s">
        <v>173</v>
      </c>
      <c r="T98" s="8" t="s">
        <v>1113</v>
      </c>
      <c r="U98" s="11" t="s">
        <v>70</v>
      </c>
      <c r="V98" s="8" t="s">
        <v>14</v>
      </c>
      <c r="W98" s="8"/>
      <c r="X98" s="8" t="s">
        <v>914</v>
      </c>
      <c r="Y98" s="12" t="s">
        <v>915</v>
      </c>
      <c r="Z98" s="8" t="s">
        <v>175</v>
      </c>
      <c r="AA98" s="8"/>
    </row>
    <row r="99" customFormat="false" ht="120" hidden="false" customHeight="true" outlineLevel="0" collapsed="false">
      <c r="A99" s="8" t="n">
        <v>98</v>
      </c>
      <c r="B99" s="9" t="n">
        <v>46350</v>
      </c>
      <c r="C99" s="8" t="str">
        <f aca="false">TEXT(B99,"ddd")</f>
        <v>Tue</v>
      </c>
      <c r="D99" s="8" t="s">
        <v>101</v>
      </c>
      <c r="E99" s="8" t="s">
        <v>57</v>
      </c>
      <c r="F99" s="13" t="s">
        <v>4</v>
      </c>
      <c r="G99" s="8" t="s">
        <v>12</v>
      </c>
      <c r="H99" s="8" t="s">
        <v>1114</v>
      </c>
      <c r="I99" s="11" t="s">
        <v>1115</v>
      </c>
      <c r="J99" s="11" t="s">
        <v>1116</v>
      </c>
      <c r="K99" s="11" t="s">
        <v>1117</v>
      </c>
      <c r="L99" s="11" t="s">
        <v>1118</v>
      </c>
      <c r="M99" s="11" t="s">
        <v>1119</v>
      </c>
      <c r="N99" s="11" t="s">
        <v>1120</v>
      </c>
      <c r="O99" s="8" t="s">
        <v>274</v>
      </c>
      <c r="P99" s="8" t="s">
        <v>81</v>
      </c>
      <c r="Q99" s="11"/>
      <c r="R99" s="8" t="s">
        <v>1121</v>
      </c>
      <c r="S99" s="11" t="s">
        <v>83</v>
      </c>
      <c r="T99" s="8" t="s">
        <v>1122</v>
      </c>
      <c r="U99" s="11" t="s">
        <v>85</v>
      </c>
      <c r="V99" s="8" t="s">
        <v>14</v>
      </c>
      <c r="W99" s="8"/>
      <c r="X99" s="8" t="s">
        <v>1123</v>
      </c>
      <c r="Y99" s="12" t="s">
        <v>1124</v>
      </c>
      <c r="Z99" s="8" t="s">
        <v>88</v>
      </c>
      <c r="AA99" s="8" t="s">
        <v>1125</v>
      </c>
    </row>
    <row r="100" customFormat="false" ht="120" hidden="false" customHeight="true" outlineLevel="0" collapsed="false">
      <c r="A100" s="8" t="n">
        <v>99</v>
      </c>
      <c r="B100" s="9" t="n">
        <v>46351</v>
      </c>
      <c r="C100" s="8" t="str">
        <f aca="false">TEXT(B100,"ddd")</f>
        <v>Wed</v>
      </c>
      <c r="D100" s="8" t="s">
        <v>255</v>
      </c>
      <c r="E100" s="8" t="s">
        <v>129</v>
      </c>
      <c r="F100" s="10" t="s">
        <v>3</v>
      </c>
      <c r="G100" s="8" t="s">
        <v>10</v>
      </c>
      <c r="H100" s="8" t="s">
        <v>1126</v>
      </c>
      <c r="I100" s="11" t="s">
        <v>1127</v>
      </c>
      <c r="J100" s="11" t="s">
        <v>1128</v>
      </c>
      <c r="K100" s="11" t="s">
        <v>1129</v>
      </c>
      <c r="L100" s="11" t="s">
        <v>1130</v>
      </c>
      <c r="M100" s="11" t="s">
        <v>1131</v>
      </c>
      <c r="N100" s="11" t="s">
        <v>1132</v>
      </c>
      <c r="O100" s="8" t="s">
        <v>1133</v>
      </c>
      <c r="P100" s="8" t="s">
        <v>66</v>
      </c>
      <c r="Q100" s="11"/>
      <c r="R100" s="8" t="s">
        <v>1134</v>
      </c>
      <c r="S100" s="11" t="s">
        <v>1135</v>
      </c>
      <c r="T100" s="8" t="s">
        <v>1136</v>
      </c>
      <c r="U100" s="11" t="s">
        <v>70</v>
      </c>
      <c r="V100" s="8" t="s">
        <v>14</v>
      </c>
      <c r="W100" s="8"/>
      <c r="X100" s="8"/>
      <c r="Y100" s="12"/>
      <c r="Z100" s="8" t="s">
        <v>71</v>
      </c>
      <c r="AA100" s="8"/>
    </row>
    <row r="101" customFormat="false" ht="120" hidden="false" customHeight="true" outlineLevel="0" collapsed="false">
      <c r="A101" s="8" t="n">
        <v>100</v>
      </c>
      <c r="B101" s="9" t="n">
        <v>46351</v>
      </c>
      <c r="C101" s="8" t="str">
        <f aca="false">TEXT(B101,"ddd")</f>
        <v>Wed</v>
      </c>
      <c r="D101" s="8" t="s">
        <v>128</v>
      </c>
      <c r="E101" s="8" t="s">
        <v>129</v>
      </c>
      <c r="F101" s="14" t="s">
        <v>5</v>
      </c>
      <c r="G101" s="8" t="s">
        <v>10</v>
      </c>
      <c r="H101" s="8" t="s">
        <v>959</v>
      </c>
      <c r="I101" s="11" t="s">
        <v>1137</v>
      </c>
      <c r="J101" s="11" t="s">
        <v>1138</v>
      </c>
      <c r="K101" s="11" t="s">
        <v>1139</v>
      </c>
      <c r="L101" s="11" t="s">
        <v>1140</v>
      </c>
      <c r="M101" s="11" t="s">
        <v>1141</v>
      </c>
      <c r="N101" s="11" t="s">
        <v>1142</v>
      </c>
      <c r="O101" s="8" t="s">
        <v>183</v>
      </c>
      <c r="P101" s="8" t="s">
        <v>122</v>
      </c>
      <c r="Q101" s="11" t="s">
        <v>1143</v>
      </c>
      <c r="R101" s="8" t="s">
        <v>954</v>
      </c>
      <c r="S101" s="11" t="s">
        <v>955</v>
      </c>
      <c r="T101" s="8" t="s">
        <v>1144</v>
      </c>
      <c r="U101" s="11" t="s">
        <v>127</v>
      </c>
      <c r="V101" s="8" t="s">
        <v>14</v>
      </c>
      <c r="W101" s="8"/>
      <c r="X101" s="8" t="s">
        <v>957</v>
      </c>
      <c r="Y101" s="12" t="s">
        <v>958</v>
      </c>
      <c r="Z101" s="8" t="s">
        <v>150</v>
      </c>
      <c r="AA101" s="8" t="s">
        <v>947</v>
      </c>
    </row>
    <row r="102" customFormat="false" ht="120" hidden="false" customHeight="true" outlineLevel="0" collapsed="false">
      <c r="A102" s="8" t="n">
        <v>101</v>
      </c>
      <c r="B102" s="9" t="n">
        <v>46352</v>
      </c>
      <c r="C102" s="8" t="str">
        <f aca="false">TEXT(B102,"ddd")</f>
        <v>Thu</v>
      </c>
      <c r="D102" s="8" t="s">
        <v>255</v>
      </c>
      <c r="E102" s="8" t="s">
        <v>129</v>
      </c>
      <c r="F102" s="10" t="s">
        <v>3</v>
      </c>
      <c r="G102" s="8" t="s">
        <v>10</v>
      </c>
      <c r="H102" s="8" t="s">
        <v>1145</v>
      </c>
      <c r="I102" s="11" t="s">
        <v>1146</v>
      </c>
      <c r="J102" s="11" t="s">
        <v>1147</v>
      </c>
      <c r="K102" s="11" t="s">
        <v>1148</v>
      </c>
      <c r="L102" s="11" t="s">
        <v>1149</v>
      </c>
      <c r="M102" s="11" t="s">
        <v>1150</v>
      </c>
      <c r="N102" s="11" t="s">
        <v>1151</v>
      </c>
      <c r="O102" s="8" t="s">
        <v>1152</v>
      </c>
      <c r="P102" s="8" t="s">
        <v>66</v>
      </c>
      <c r="Q102" s="11"/>
      <c r="R102" s="8" t="s">
        <v>1153</v>
      </c>
      <c r="S102" s="11" t="s">
        <v>173</v>
      </c>
      <c r="T102" s="8" t="s">
        <v>1154</v>
      </c>
      <c r="U102" s="11" t="s">
        <v>70</v>
      </c>
      <c r="V102" s="8" t="s">
        <v>14</v>
      </c>
      <c r="W102" s="8"/>
      <c r="X102" s="8" t="s">
        <v>957</v>
      </c>
      <c r="Y102" s="12" t="s">
        <v>958</v>
      </c>
      <c r="Z102" s="8" t="s">
        <v>175</v>
      </c>
      <c r="AA102" s="8"/>
    </row>
    <row r="103" customFormat="false" ht="120" hidden="false" customHeight="true" outlineLevel="0" collapsed="false">
      <c r="A103" s="8" t="n">
        <v>102</v>
      </c>
      <c r="B103" s="9" t="n">
        <v>46352</v>
      </c>
      <c r="C103" s="8" t="str">
        <f aca="false">TEXT(B103,"ddd")</f>
        <v>Thu</v>
      </c>
      <c r="D103" s="8" t="s">
        <v>221</v>
      </c>
      <c r="E103" s="8" t="s">
        <v>188</v>
      </c>
      <c r="F103" s="14" t="s">
        <v>5</v>
      </c>
      <c r="G103" s="8" t="s">
        <v>11</v>
      </c>
      <c r="H103" s="8" t="s">
        <v>1155</v>
      </c>
      <c r="I103" s="11" t="s">
        <v>1156</v>
      </c>
      <c r="J103" s="11" t="s">
        <v>1157</v>
      </c>
      <c r="K103" s="11" t="s">
        <v>1158</v>
      </c>
      <c r="L103" s="11" t="s">
        <v>1159</v>
      </c>
      <c r="M103" s="11" t="s">
        <v>1160</v>
      </c>
      <c r="N103" s="11" t="s">
        <v>1161</v>
      </c>
      <c r="O103" s="8" t="s">
        <v>80</v>
      </c>
      <c r="P103" s="8" t="s">
        <v>122</v>
      </c>
      <c r="Q103" s="11" t="s">
        <v>1162</v>
      </c>
      <c r="R103" s="8" t="s">
        <v>1163</v>
      </c>
      <c r="S103" s="11" t="s">
        <v>1164</v>
      </c>
      <c r="T103" s="8" t="s">
        <v>1165</v>
      </c>
      <c r="U103" s="11" t="s">
        <v>127</v>
      </c>
      <c r="V103" s="8" t="s">
        <v>14</v>
      </c>
      <c r="W103" s="8"/>
      <c r="X103" s="8"/>
      <c r="Y103" s="12"/>
      <c r="Z103" s="8" t="s">
        <v>113</v>
      </c>
      <c r="AA103" s="8"/>
    </row>
    <row r="104" customFormat="false" ht="120" hidden="false" customHeight="true" outlineLevel="0" collapsed="false">
      <c r="A104" s="8" t="n">
        <v>103</v>
      </c>
      <c r="B104" s="9" t="n">
        <v>46353</v>
      </c>
      <c r="C104" s="8" t="str">
        <f aca="false">TEXT(B104,"ddd")</f>
        <v>Fri</v>
      </c>
      <c r="D104" s="8" t="s">
        <v>255</v>
      </c>
      <c r="E104" s="8" t="s">
        <v>129</v>
      </c>
      <c r="F104" s="13" t="s">
        <v>4</v>
      </c>
      <c r="G104" s="8" t="s">
        <v>10</v>
      </c>
      <c r="H104" s="8" t="s">
        <v>1166</v>
      </c>
      <c r="I104" s="11" t="s">
        <v>1167</v>
      </c>
      <c r="J104" s="11" t="s">
        <v>1168</v>
      </c>
      <c r="K104" s="11" t="s">
        <v>1169</v>
      </c>
      <c r="L104" s="11" t="s">
        <v>1170</v>
      </c>
      <c r="M104" s="11" t="s">
        <v>1171</v>
      </c>
      <c r="N104" s="11" t="s">
        <v>1172</v>
      </c>
      <c r="O104" s="8" t="s">
        <v>1173</v>
      </c>
      <c r="P104" s="8" t="s">
        <v>81</v>
      </c>
      <c r="Q104" s="11"/>
      <c r="R104" s="8" t="s">
        <v>1174</v>
      </c>
      <c r="S104" s="11" t="s">
        <v>1175</v>
      </c>
      <c r="T104" s="8" t="s">
        <v>1176</v>
      </c>
      <c r="U104" s="11" t="s">
        <v>85</v>
      </c>
      <c r="V104" s="8" t="s">
        <v>14</v>
      </c>
      <c r="W104" s="8"/>
      <c r="X104" s="8"/>
      <c r="Y104" s="12"/>
      <c r="Z104" s="8" t="s">
        <v>113</v>
      </c>
      <c r="AA104" s="8"/>
    </row>
    <row r="105" customFormat="false" ht="120" hidden="false" customHeight="true" outlineLevel="0" collapsed="false">
      <c r="A105" s="8" t="n">
        <v>104</v>
      </c>
      <c r="B105" s="9" t="n">
        <v>46353</v>
      </c>
      <c r="C105" s="8" t="str">
        <f aca="false">TEXT(B105,"ddd")</f>
        <v>Fri</v>
      </c>
      <c r="D105" s="8" t="s">
        <v>221</v>
      </c>
      <c r="E105" s="8" t="s">
        <v>188</v>
      </c>
      <c r="F105" s="10" t="s">
        <v>3</v>
      </c>
      <c r="G105" s="8" t="s">
        <v>11</v>
      </c>
      <c r="H105" s="8" t="s">
        <v>1177</v>
      </c>
      <c r="I105" s="11" t="s">
        <v>1178</v>
      </c>
      <c r="J105" s="11" t="s">
        <v>1179</v>
      </c>
      <c r="K105" s="11" t="s">
        <v>1180</v>
      </c>
      <c r="L105" s="11" t="s">
        <v>1181</v>
      </c>
      <c r="M105" s="11" t="s">
        <v>1182</v>
      </c>
      <c r="N105" s="11" t="s">
        <v>1183</v>
      </c>
      <c r="O105" s="8" t="s">
        <v>491</v>
      </c>
      <c r="P105" s="8" t="s">
        <v>66</v>
      </c>
      <c r="Q105" s="11"/>
      <c r="R105" s="8" t="s">
        <v>1184</v>
      </c>
      <c r="S105" s="11" t="s">
        <v>1185</v>
      </c>
      <c r="T105" s="8" t="s">
        <v>1186</v>
      </c>
      <c r="U105" s="11" t="s">
        <v>70</v>
      </c>
      <c r="V105" s="8" t="s">
        <v>14</v>
      </c>
      <c r="W105" s="8"/>
      <c r="X105" s="8"/>
      <c r="Y105" s="12"/>
      <c r="Z105" s="8" t="s">
        <v>113</v>
      </c>
      <c r="AA105" s="8"/>
    </row>
    <row r="106" customFormat="false" ht="120" hidden="false" customHeight="true" outlineLevel="0" collapsed="false">
      <c r="A106" s="8" t="n">
        <v>105</v>
      </c>
      <c r="B106" s="9" t="n">
        <v>46354</v>
      </c>
      <c r="C106" s="8" t="str">
        <f aca="false">TEXT(B106,"ddd")</f>
        <v>Sat</v>
      </c>
      <c r="D106" s="8" t="s">
        <v>56</v>
      </c>
      <c r="E106" s="8" t="s">
        <v>57</v>
      </c>
      <c r="F106" s="10" t="s">
        <v>3</v>
      </c>
      <c r="G106" s="8" t="s">
        <v>9</v>
      </c>
      <c r="H106" s="8" t="s">
        <v>1187</v>
      </c>
      <c r="I106" s="11" t="s">
        <v>1188</v>
      </c>
      <c r="J106" s="11" t="s">
        <v>1189</v>
      </c>
      <c r="K106" s="11" t="s">
        <v>1190</v>
      </c>
      <c r="L106" s="11" t="s">
        <v>1191</v>
      </c>
      <c r="M106" s="11" t="s">
        <v>1192</v>
      </c>
      <c r="N106" s="11" t="s">
        <v>1193</v>
      </c>
      <c r="O106" s="8" t="s">
        <v>1194</v>
      </c>
      <c r="P106" s="8" t="s">
        <v>66</v>
      </c>
      <c r="Q106" s="11"/>
      <c r="R106" s="8" t="s">
        <v>1195</v>
      </c>
      <c r="S106" s="11" t="s">
        <v>1196</v>
      </c>
      <c r="T106" s="8" t="s">
        <v>1197</v>
      </c>
      <c r="U106" s="11" t="s">
        <v>70</v>
      </c>
      <c r="V106" s="8" t="s">
        <v>14</v>
      </c>
      <c r="W106" s="8"/>
      <c r="X106" s="8"/>
      <c r="Y106" s="12"/>
      <c r="Z106" s="8" t="s">
        <v>71</v>
      </c>
      <c r="AA106" s="8"/>
    </row>
    <row r="107" customFormat="false" ht="120" hidden="false" customHeight="true" outlineLevel="0" collapsed="false">
      <c r="A107" s="8" t="n">
        <v>106</v>
      </c>
      <c r="B107" s="9" t="n">
        <v>46354</v>
      </c>
      <c r="C107" s="8" t="str">
        <f aca="false">TEXT(B107,"ddd")</f>
        <v>Sat</v>
      </c>
      <c r="D107" s="8" t="s">
        <v>128</v>
      </c>
      <c r="E107" s="8" t="s">
        <v>129</v>
      </c>
      <c r="F107" s="10" t="s">
        <v>3</v>
      </c>
      <c r="G107" s="8" t="s">
        <v>10</v>
      </c>
      <c r="H107" s="8" t="s">
        <v>1198</v>
      </c>
      <c r="I107" s="11" t="s">
        <v>1199</v>
      </c>
      <c r="J107" s="11" t="s">
        <v>1200</v>
      </c>
      <c r="K107" s="11" t="s">
        <v>1201</v>
      </c>
      <c r="L107" s="11" t="s">
        <v>1202</v>
      </c>
      <c r="M107" s="11" t="s">
        <v>1203</v>
      </c>
      <c r="N107" s="11" t="s">
        <v>1204</v>
      </c>
      <c r="O107" s="8" t="s">
        <v>80</v>
      </c>
      <c r="P107" s="8" t="s">
        <v>66</v>
      </c>
      <c r="Q107" s="11"/>
      <c r="R107" s="8" t="s">
        <v>1205</v>
      </c>
      <c r="S107" s="11" t="s">
        <v>1206</v>
      </c>
      <c r="T107" s="8" t="s">
        <v>1207</v>
      </c>
      <c r="U107" s="11" t="s">
        <v>70</v>
      </c>
      <c r="V107" s="8" t="s">
        <v>14</v>
      </c>
      <c r="W107" s="8"/>
      <c r="X107" s="8"/>
      <c r="Y107" s="12"/>
      <c r="Z107" s="8" t="s">
        <v>113</v>
      </c>
      <c r="AA107" s="8"/>
    </row>
    <row r="108" customFormat="false" ht="120" hidden="false" customHeight="true" outlineLevel="0" collapsed="false">
      <c r="A108" s="8" t="n">
        <v>107</v>
      </c>
      <c r="B108" s="9" t="n">
        <v>46355</v>
      </c>
      <c r="C108" s="8" t="str">
        <f aca="false">TEXT(B108,"ddd")</f>
        <v>Sun</v>
      </c>
      <c r="D108" s="8" t="s">
        <v>187</v>
      </c>
      <c r="E108" s="8" t="s">
        <v>188</v>
      </c>
      <c r="F108" s="13" t="s">
        <v>4</v>
      </c>
      <c r="G108" s="8" t="s">
        <v>11</v>
      </c>
      <c r="H108" s="8" t="s">
        <v>1208</v>
      </c>
      <c r="I108" s="11" t="s">
        <v>1209</v>
      </c>
      <c r="J108" s="11" t="s">
        <v>1210</v>
      </c>
      <c r="K108" s="11" t="s">
        <v>1211</v>
      </c>
      <c r="L108" s="11" t="s">
        <v>1212</v>
      </c>
      <c r="M108" s="11" t="s">
        <v>1213</v>
      </c>
      <c r="N108" s="11" t="s">
        <v>1214</v>
      </c>
      <c r="O108" s="8" t="s">
        <v>274</v>
      </c>
      <c r="P108" s="8" t="s">
        <v>81</v>
      </c>
      <c r="Q108" s="11"/>
      <c r="R108" s="8" t="s">
        <v>1215</v>
      </c>
      <c r="S108" s="11" t="s">
        <v>1216</v>
      </c>
      <c r="T108" s="8" t="s">
        <v>1217</v>
      </c>
      <c r="U108" s="11" t="s">
        <v>85</v>
      </c>
      <c r="V108" s="8" t="s">
        <v>14</v>
      </c>
      <c r="W108" s="8"/>
      <c r="X108" s="8"/>
      <c r="Y108" s="12"/>
      <c r="Z108" s="8" t="s">
        <v>113</v>
      </c>
      <c r="AA108" s="8"/>
    </row>
    <row r="109" customFormat="false" ht="120" hidden="false" customHeight="true" outlineLevel="0" collapsed="false">
      <c r="A109" s="8" t="n">
        <v>108</v>
      </c>
      <c r="B109" s="9" t="n">
        <v>46355</v>
      </c>
      <c r="C109" s="8" t="str">
        <f aca="false">TEXT(B109,"ddd")</f>
        <v>Sun</v>
      </c>
      <c r="D109" s="8" t="s">
        <v>221</v>
      </c>
      <c r="E109" s="8" t="s">
        <v>188</v>
      </c>
      <c r="F109" s="10" t="s">
        <v>3</v>
      </c>
      <c r="G109" s="8" t="s">
        <v>11</v>
      </c>
      <c r="H109" s="8" t="s">
        <v>1218</v>
      </c>
      <c r="I109" s="11" t="s">
        <v>1219</v>
      </c>
      <c r="J109" s="11" t="s">
        <v>1220</v>
      </c>
      <c r="K109" s="11" t="s">
        <v>1221</v>
      </c>
      <c r="L109" s="11" t="s">
        <v>1222</v>
      </c>
      <c r="M109" s="11" t="s">
        <v>1223</v>
      </c>
      <c r="N109" s="11" t="s">
        <v>1224</v>
      </c>
      <c r="O109" s="8" t="s">
        <v>1225</v>
      </c>
      <c r="P109" s="8" t="s">
        <v>66</v>
      </c>
      <c r="Q109" s="11"/>
      <c r="R109" s="8" t="s">
        <v>1226</v>
      </c>
      <c r="S109" s="11" t="s">
        <v>1227</v>
      </c>
      <c r="T109" s="8" t="s">
        <v>1228</v>
      </c>
      <c r="U109" s="11" t="s">
        <v>70</v>
      </c>
      <c r="V109" s="8" t="s">
        <v>14</v>
      </c>
      <c r="W109" s="8"/>
      <c r="X109" s="8"/>
      <c r="Y109" s="12"/>
      <c r="Z109" s="8" t="s">
        <v>113</v>
      </c>
      <c r="AA109" s="8"/>
    </row>
    <row r="110" customFormat="false" ht="120" hidden="false" customHeight="true" outlineLevel="0" collapsed="false">
      <c r="A110" s="8" t="n">
        <v>109</v>
      </c>
      <c r="B110" s="9" t="n">
        <v>46356</v>
      </c>
      <c r="C110" s="8" t="str">
        <f aca="false">TEXT(B110,"ddd")</f>
        <v>Mon</v>
      </c>
      <c r="D110" s="8" t="s">
        <v>56</v>
      </c>
      <c r="E110" s="8" t="s">
        <v>57</v>
      </c>
      <c r="F110" s="10" t="s">
        <v>3</v>
      </c>
      <c r="G110" s="8" t="s">
        <v>9</v>
      </c>
      <c r="H110" s="8" t="s">
        <v>1229</v>
      </c>
      <c r="I110" s="11" t="s">
        <v>1230</v>
      </c>
      <c r="J110" s="11" t="s">
        <v>1231</v>
      </c>
      <c r="K110" s="11" t="s">
        <v>1232</v>
      </c>
      <c r="L110" s="11" t="s">
        <v>1233</v>
      </c>
      <c r="M110" s="11" t="s">
        <v>1234</v>
      </c>
      <c r="N110" s="11" t="s">
        <v>1235</v>
      </c>
      <c r="O110" s="8" t="s">
        <v>121</v>
      </c>
      <c r="P110" s="8" t="s">
        <v>66</v>
      </c>
      <c r="Q110" s="11"/>
      <c r="R110" s="8" t="s">
        <v>1236</v>
      </c>
      <c r="S110" s="11" t="s">
        <v>1237</v>
      </c>
      <c r="T110" s="8" t="s">
        <v>1238</v>
      </c>
      <c r="U110" s="11" t="s">
        <v>70</v>
      </c>
      <c r="V110" s="8" t="s">
        <v>14</v>
      </c>
      <c r="W110" s="8"/>
      <c r="X110" s="8"/>
      <c r="Y110" s="12"/>
      <c r="Z110" s="8" t="s">
        <v>71</v>
      </c>
      <c r="AA110" s="8"/>
    </row>
    <row r="111" customFormat="false" ht="120" hidden="false" customHeight="true" outlineLevel="0" collapsed="false">
      <c r="A111" s="8" t="n">
        <v>110</v>
      </c>
      <c r="B111" s="9" t="n">
        <v>46356</v>
      </c>
      <c r="C111" s="8" t="str">
        <f aca="false">TEXT(B111,"ddd")</f>
        <v>Mon</v>
      </c>
      <c r="D111" s="8" t="s">
        <v>101</v>
      </c>
      <c r="E111" s="8" t="s">
        <v>57</v>
      </c>
      <c r="F111" s="13" t="s">
        <v>4</v>
      </c>
      <c r="G111" s="8" t="s">
        <v>12</v>
      </c>
      <c r="H111" s="8" t="s">
        <v>1239</v>
      </c>
      <c r="I111" s="11" t="s">
        <v>1240</v>
      </c>
      <c r="J111" s="11" t="s">
        <v>1241</v>
      </c>
      <c r="K111" s="11" t="s">
        <v>1242</v>
      </c>
      <c r="L111" s="11" t="s">
        <v>1243</v>
      </c>
      <c r="M111" s="11" t="s">
        <v>1244</v>
      </c>
      <c r="N111" s="11" t="s">
        <v>1245</v>
      </c>
      <c r="O111" s="8" t="s">
        <v>491</v>
      </c>
      <c r="P111" s="8" t="s">
        <v>81</v>
      </c>
      <c r="Q111" s="11"/>
      <c r="R111" s="8" t="s">
        <v>1246</v>
      </c>
      <c r="S111" s="11" t="s">
        <v>1247</v>
      </c>
      <c r="T111" s="8" t="s">
        <v>1248</v>
      </c>
      <c r="U111" s="11" t="s">
        <v>85</v>
      </c>
      <c r="V111" s="8" t="s">
        <v>14</v>
      </c>
      <c r="W111" s="8"/>
      <c r="X111" s="8"/>
      <c r="Y111" s="12"/>
      <c r="Z111" s="8" t="s">
        <v>113</v>
      </c>
      <c r="AA111" s="8"/>
    </row>
    <row r="112" customFormat="false" ht="120" hidden="false" customHeight="true" outlineLevel="0" collapsed="false">
      <c r="A112" s="8" t="n">
        <v>111</v>
      </c>
      <c r="B112" s="9" t="n">
        <v>46357</v>
      </c>
      <c r="C112" s="8" t="str">
        <f aca="false">TEXT(B112,"ddd")</f>
        <v>Tue</v>
      </c>
      <c r="D112" s="8" t="s">
        <v>233</v>
      </c>
      <c r="E112" s="8" t="s">
        <v>57</v>
      </c>
      <c r="F112" s="14" t="s">
        <v>5</v>
      </c>
      <c r="G112" s="8" t="s">
        <v>12</v>
      </c>
      <c r="H112" s="8" t="s">
        <v>1249</v>
      </c>
      <c r="I112" s="11" t="s">
        <v>1250</v>
      </c>
      <c r="J112" s="11" t="s">
        <v>1251</v>
      </c>
      <c r="K112" s="11" t="s">
        <v>1252</v>
      </c>
      <c r="L112" s="11" t="s">
        <v>1253</v>
      </c>
      <c r="M112" s="11" t="s">
        <v>1254</v>
      </c>
      <c r="N112" s="11" t="s">
        <v>1255</v>
      </c>
      <c r="O112" s="8" t="s">
        <v>1256</v>
      </c>
      <c r="P112" s="8" t="s">
        <v>122</v>
      </c>
      <c r="Q112" s="11" t="s">
        <v>1257</v>
      </c>
      <c r="R112" s="8" t="s">
        <v>1258</v>
      </c>
      <c r="S112" s="11" t="s">
        <v>1259</v>
      </c>
      <c r="T112" s="8" t="s">
        <v>1260</v>
      </c>
      <c r="U112" s="11" t="s">
        <v>127</v>
      </c>
      <c r="V112" s="8" t="s">
        <v>14</v>
      </c>
      <c r="W112" s="8"/>
      <c r="X112" s="8"/>
      <c r="Y112" s="12"/>
      <c r="Z112" s="8" t="s">
        <v>113</v>
      </c>
      <c r="AA112" s="8"/>
    </row>
    <row r="113" customFormat="false" ht="120" hidden="false" customHeight="true" outlineLevel="0" collapsed="false">
      <c r="A113" s="8" t="n">
        <v>112</v>
      </c>
      <c r="B113" s="9" t="n">
        <v>46357</v>
      </c>
      <c r="C113" s="8" t="str">
        <f aca="false">TEXT(B113,"ddd")</f>
        <v>Tue</v>
      </c>
      <c r="D113" s="8" t="s">
        <v>128</v>
      </c>
      <c r="E113" s="8" t="s">
        <v>129</v>
      </c>
      <c r="F113" s="10" t="s">
        <v>3</v>
      </c>
      <c r="G113" s="8" t="s">
        <v>10</v>
      </c>
      <c r="H113" s="8" t="s">
        <v>1261</v>
      </c>
      <c r="I113" s="11" t="s">
        <v>1262</v>
      </c>
      <c r="J113" s="11" t="s">
        <v>1263</v>
      </c>
      <c r="K113" s="11" t="s">
        <v>1264</v>
      </c>
      <c r="L113" s="11" t="s">
        <v>1265</v>
      </c>
      <c r="M113" s="11" t="s">
        <v>1266</v>
      </c>
      <c r="N113" s="11" t="s">
        <v>1267</v>
      </c>
      <c r="O113" s="8" t="s">
        <v>1268</v>
      </c>
      <c r="P113" s="8" t="s">
        <v>66</v>
      </c>
      <c r="Q113" s="11"/>
      <c r="R113" s="8" t="s">
        <v>1269</v>
      </c>
      <c r="S113" s="11" t="s">
        <v>1270</v>
      </c>
      <c r="T113" s="8" t="s">
        <v>1271</v>
      </c>
      <c r="U113" s="11" t="s">
        <v>70</v>
      </c>
      <c r="V113" s="8" t="s">
        <v>14</v>
      </c>
      <c r="W113" s="8"/>
      <c r="X113" s="8"/>
      <c r="Y113" s="12"/>
      <c r="Z113" s="8" t="s">
        <v>113</v>
      </c>
      <c r="AA113" s="8"/>
    </row>
    <row r="114" customFormat="false" ht="120" hidden="false" customHeight="true" outlineLevel="0" collapsed="false">
      <c r="A114" s="8" t="n">
        <v>113</v>
      </c>
      <c r="B114" s="9" t="n">
        <v>46358</v>
      </c>
      <c r="C114" s="8" t="str">
        <f aca="false">TEXT(B114,"ddd")</f>
        <v>Wed</v>
      </c>
      <c r="D114" s="8" t="s">
        <v>56</v>
      </c>
      <c r="E114" s="8" t="s">
        <v>57</v>
      </c>
      <c r="F114" s="13" t="s">
        <v>4</v>
      </c>
      <c r="G114" s="8" t="s">
        <v>9</v>
      </c>
      <c r="H114" s="8" t="s">
        <v>1272</v>
      </c>
      <c r="I114" s="11" t="s">
        <v>1273</v>
      </c>
      <c r="J114" s="11" t="s">
        <v>1274</v>
      </c>
      <c r="K114" s="11" t="s">
        <v>1275</v>
      </c>
      <c r="L114" s="11" t="s">
        <v>1276</v>
      </c>
      <c r="M114" s="11" t="s">
        <v>1277</v>
      </c>
      <c r="N114" s="11" t="s">
        <v>1278</v>
      </c>
      <c r="O114" s="8" t="s">
        <v>1279</v>
      </c>
      <c r="P114" s="8" t="s">
        <v>81</v>
      </c>
      <c r="Q114" s="11"/>
      <c r="R114" s="8" t="s">
        <v>1280</v>
      </c>
      <c r="S114" s="11" t="s">
        <v>1281</v>
      </c>
      <c r="T114" s="8" t="s">
        <v>1282</v>
      </c>
      <c r="U114" s="11" t="s">
        <v>85</v>
      </c>
      <c r="V114" s="8" t="s">
        <v>14</v>
      </c>
      <c r="W114" s="8"/>
      <c r="X114" s="8"/>
      <c r="Y114" s="12"/>
      <c r="Z114" s="8" t="s">
        <v>71</v>
      </c>
      <c r="AA114" s="8"/>
    </row>
    <row r="115" customFormat="false" ht="120" hidden="false" customHeight="true" outlineLevel="0" collapsed="false">
      <c r="A115" s="8" t="n">
        <v>114</v>
      </c>
      <c r="B115" s="9" t="n">
        <v>46358</v>
      </c>
      <c r="C115" s="8" t="str">
        <f aca="false">TEXT(B115,"ddd")</f>
        <v>Wed</v>
      </c>
      <c r="D115" s="8" t="s">
        <v>221</v>
      </c>
      <c r="E115" s="8" t="s">
        <v>188</v>
      </c>
      <c r="F115" s="10" t="s">
        <v>3</v>
      </c>
      <c r="G115" s="8" t="s">
        <v>11</v>
      </c>
      <c r="H115" s="8" t="s">
        <v>1283</v>
      </c>
      <c r="I115" s="11" t="s">
        <v>1284</v>
      </c>
      <c r="J115" s="11" t="s">
        <v>1285</v>
      </c>
      <c r="K115" s="11" t="s">
        <v>1286</v>
      </c>
      <c r="L115" s="11" t="s">
        <v>1287</v>
      </c>
      <c r="M115" s="11" t="s">
        <v>1288</v>
      </c>
      <c r="N115" s="11" t="s">
        <v>1289</v>
      </c>
      <c r="O115" s="8" t="s">
        <v>147</v>
      </c>
      <c r="P115" s="8" t="s">
        <v>66</v>
      </c>
      <c r="Q115" s="11"/>
      <c r="R115" s="8" t="s">
        <v>1290</v>
      </c>
      <c r="S115" s="11" t="s">
        <v>1291</v>
      </c>
      <c r="T115" s="8" t="s">
        <v>1292</v>
      </c>
      <c r="U115" s="11" t="s">
        <v>70</v>
      </c>
      <c r="V115" s="8" t="s">
        <v>14</v>
      </c>
      <c r="W115" s="8"/>
      <c r="X115" s="8"/>
      <c r="Y115" s="12"/>
      <c r="Z115" s="8" t="s">
        <v>113</v>
      </c>
      <c r="AA115" s="8"/>
    </row>
    <row r="116" customFormat="false" ht="120" hidden="false" customHeight="true" outlineLevel="0" collapsed="false">
      <c r="A116" s="8" t="n">
        <v>115</v>
      </c>
      <c r="B116" s="9" t="n">
        <v>46359</v>
      </c>
      <c r="C116" s="8" t="str">
        <f aca="false">TEXT(B116,"ddd")</f>
        <v>Thu</v>
      </c>
      <c r="D116" s="8" t="s">
        <v>233</v>
      </c>
      <c r="E116" s="8" t="s">
        <v>57</v>
      </c>
      <c r="F116" s="14" t="s">
        <v>5</v>
      </c>
      <c r="G116" s="8" t="s">
        <v>12</v>
      </c>
      <c r="H116" s="8" t="s">
        <v>1125</v>
      </c>
      <c r="I116" s="11" t="s">
        <v>1293</v>
      </c>
      <c r="J116" s="11" t="s">
        <v>1294</v>
      </c>
      <c r="K116" s="11" t="s">
        <v>1295</v>
      </c>
      <c r="L116" s="11" t="s">
        <v>1296</v>
      </c>
      <c r="M116" s="11" t="s">
        <v>1297</v>
      </c>
      <c r="N116" s="11" t="s">
        <v>1298</v>
      </c>
      <c r="O116" s="8" t="s">
        <v>183</v>
      </c>
      <c r="P116" s="8" t="s">
        <v>122</v>
      </c>
      <c r="Q116" s="11" t="s">
        <v>1299</v>
      </c>
      <c r="R116" s="8" t="s">
        <v>1121</v>
      </c>
      <c r="S116" s="11" t="s">
        <v>83</v>
      </c>
      <c r="T116" s="8" t="s">
        <v>1300</v>
      </c>
      <c r="U116" s="11" t="s">
        <v>127</v>
      </c>
      <c r="V116" s="8" t="s">
        <v>14</v>
      </c>
      <c r="W116" s="8"/>
      <c r="X116" s="8" t="s">
        <v>1123</v>
      </c>
      <c r="Y116" s="12" t="s">
        <v>1124</v>
      </c>
      <c r="Z116" s="8" t="s">
        <v>150</v>
      </c>
      <c r="AA116" s="8" t="s">
        <v>1114</v>
      </c>
    </row>
    <row r="117" customFormat="false" ht="120" hidden="false" customHeight="true" outlineLevel="0" collapsed="false">
      <c r="A117" s="8" t="n">
        <v>116</v>
      </c>
      <c r="B117" s="9" t="n">
        <v>46359</v>
      </c>
      <c r="C117" s="8" t="str">
        <f aca="false">TEXT(B117,"ddd")</f>
        <v>Thu</v>
      </c>
      <c r="D117" s="8" t="s">
        <v>128</v>
      </c>
      <c r="E117" s="8" t="s">
        <v>129</v>
      </c>
      <c r="F117" s="14" t="s">
        <v>5</v>
      </c>
      <c r="G117" s="8" t="s">
        <v>10</v>
      </c>
      <c r="H117" s="8" t="s">
        <v>1301</v>
      </c>
      <c r="I117" s="11" t="s">
        <v>1302</v>
      </c>
      <c r="J117" s="11" t="s">
        <v>1303</v>
      </c>
      <c r="K117" s="11" t="s">
        <v>1304</v>
      </c>
      <c r="L117" s="11" t="s">
        <v>1305</v>
      </c>
      <c r="M117" s="11" t="s">
        <v>1306</v>
      </c>
      <c r="N117" s="11" t="s">
        <v>1307</v>
      </c>
      <c r="O117" s="8" t="s">
        <v>1308</v>
      </c>
      <c r="P117" s="8" t="s">
        <v>122</v>
      </c>
      <c r="Q117" s="11" t="s">
        <v>1309</v>
      </c>
      <c r="R117" s="8" t="s">
        <v>1310</v>
      </c>
      <c r="S117" s="11" t="s">
        <v>1311</v>
      </c>
      <c r="T117" s="8" t="s">
        <v>1312</v>
      </c>
      <c r="U117" s="11" t="s">
        <v>127</v>
      </c>
      <c r="V117" s="8" t="s">
        <v>14</v>
      </c>
      <c r="W117" s="8"/>
      <c r="X117" s="8"/>
      <c r="Y117" s="12"/>
      <c r="Z117" s="8" t="s">
        <v>113</v>
      </c>
      <c r="AA117" s="8"/>
    </row>
    <row r="118" customFormat="false" ht="120" hidden="false" customHeight="true" outlineLevel="0" collapsed="false">
      <c r="A118" s="8" t="n">
        <v>117</v>
      </c>
      <c r="B118" s="9" t="n">
        <v>46360</v>
      </c>
      <c r="C118" s="8" t="str">
        <f aca="false">TEXT(B118,"ddd")</f>
        <v>Fri</v>
      </c>
      <c r="D118" s="8" t="s">
        <v>255</v>
      </c>
      <c r="E118" s="8" t="s">
        <v>129</v>
      </c>
      <c r="F118" s="13" t="s">
        <v>4</v>
      </c>
      <c r="G118" s="8" t="s">
        <v>10</v>
      </c>
      <c r="H118" s="8" t="s">
        <v>1313</v>
      </c>
      <c r="I118" s="11" t="s">
        <v>1314</v>
      </c>
      <c r="J118" s="11" t="s">
        <v>1315</v>
      </c>
      <c r="K118" s="11" t="s">
        <v>1316</v>
      </c>
      <c r="L118" s="11" t="s">
        <v>1317</v>
      </c>
      <c r="M118" s="11" t="s">
        <v>1318</v>
      </c>
      <c r="N118" s="11" t="s">
        <v>1319</v>
      </c>
      <c r="O118" s="8" t="s">
        <v>1320</v>
      </c>
      <c r="P118" s="8" t="s">
        <v>81</v>
      </c>
      <c r="Q118" s="11"/>
      <c r="R118" s="8" t="s">
        <v>1321</v>
      </c>
      <c r="S118" s="11" t="s">
        <v>1322</v>
      </c>
      <c r="T118" s="8" t="s">
        <v>1323</v>
      </c>
      <c r="U118" s="11" t="s">
        <v>85</v>
      </c>
      <c r="V118" s="8" t="s">
        <v>14</v>
      </c>
      <c r="W118" s="8"/>
      <c r="X118" s="8"/>
      <c r="Y118" s="12"/>
      <c r="Z118" s="8" t="s">
        <v>113</v>
      </c>
      <c r="AA118" s="8"/>
    </row>
    <row r="119" customFormat="false" ht="120" hidden="false" customHeight="true" outlineLevel="0" collapsed="false">
      <c r="A119" s="8" t="n">
        <v>118</v>
      </c>
      <c r="B119" s="9" t="n">
        <v>46360</v>
      </c>
      <c r="C119" s="8" t="str">
        <f aca="false">TEXT(B119,"ddd")</f>
        <v>Fri</v>
      </c>
      <c r="D119" s="8" t="s">
        <v>101</v>
      </c>
      <c r="E119" s="8" t="s">
        <v>57</v>
      </c>
      <c r="F119" s="10" t="s">
        <v>3</v>
      </c>
      <c r="G119" s="8" t="s">
        <v>12</v>
      </c>
      <c r="H119" s="8" t="s">
        <v>1324</v>
      </c>
      <c r="I119" s="11" t="s">
        <v>1325</v>
      </c>
      <c r="J119" s="11" t="s">
        <v>1326</v>
      </c>
      <c r="K119" s="11" t="s">
        <v>1327</v>
      </c>
      <c r="L119" s="11" t="s">
        <v>1328</v>
      </c>
      <c r="M119" s="11" t="s">
        <v>1329</v>
      </c>
      <c r="N119" s="11" t="s">
        <v>1330</v>
      </c>
      <c r="O119" s="8" t="s">
        <v>1331</v>
      </c>
      <c r="P119" s="8" t="s">
        <v>66</v>
      </c>
      <c r="Q119" s="11"/>
      <c r="R119" s="8" t="s">
        <v>1332</v>
      </c>
      <c r="S119" s="11" t="s">
        <v>173</v>
      </c>
      <c r="T119" s="8" t="s">
        <v>1333</v>
      </c>
      <c r="U119" s="11" t="s">
        <v>70</v>
      </c>
      <c r="V119" s="8" t="s">
        <v>14</v>
      </c>
      <c r="W119" s="8"/>
      <c r="X119" s="8" t="s">
        <v>1123</v>
      </c>
      <c r="Y119" s="12" t="s">
        <v>1124</v>
      </c>
      <c r="Z119" s="8" t="s">
        <v>175</v>
      </c>
      <c r="AA119" s="8"/>
    </row>
    <row r="120" customFormat="false" ht="120" hidden="false" customHeight="true" outlineLevel="0" collapsed="false">
      <c r="A120" s="8" t="n">
        <v>119</v>
      </c>
      <c r="B120" s="9" t="n">
        <v>46361</v>
      </c>
      <c r="C120" s="8" t="str">
        <f aca="false">TEXT(B120,"ddd")</f>
        <v>Sat</v>
      </c>
      <c r="D120" s="8" t="s">
        <v>56</v>
      </c>
      <c r="E120" s="8" t="s">
        <v>57</v>
      </c>
      <c r="F120" s="10" t="s">
        <v>3</v>
      </c>
      <c r="G120" s="8" t="s">
        <v>9</v>
      </c>
      <c r="H120" s="8" t="s">
        <v>1334</v>
      </c>
      <c r="I120" s="11" t="s">
        <v>1335</v>
      </c>
      <c r="J120" s="11" t="s">
        <v>1336</v>
      </c>
      <c r="K120" s="11" t="s">
        <v>1337</v>
      </c>
      <c r="L120" s="11" t="s">
        <v>1338</v>
      </c>
      <c r="M120" s="11" t="s">
        <v>1339</v>
      </c>
      <c r="N120" s="11" t="s">
        <v>1340</v>
      </c>
      <c r="O120" s="8" t="s">
        <v>274</v>
      </c>
      <c r="P120" s="8" t="s">
        <v>66</v>
      </c>
      <c r="Q120" s="11"/>
      <c r="R120" s="8" t="s">
        <v>1341</v>
      </c>
      <c r="S120" s="11" t="s">
        <v>1342</v>
      </c>
      <c r="T120" s="8" t="s">
        <v>1343</v>
      </c>
      <c r="U120" s="11" t="s">
        <v>70</v>
      </c>
      <c r="V120" s="8" t="s">
        <v>14</v>
      </c>
      <c r="W120" s="8"/>
      <c r="X120" s="8"/>
      <c r="Y120" s="12"/>
      <c r="Z120" s="8" t="s">
        <v>71</v>
      </c>
      <c r="AA120" s="8"/>
    </row>
    <row r="121" customFormat="false" ht="120" hidden="false" customHeight="true" outlineLevel="0" collapsed="false">
      <c r="A121" s="8" t="n">
        <v>120</v>
      </c>
      <c r="B121" s="9" t="n">
        <v>46361</v>
      </c>
      <c r="C121" s="8" t="str">
        <f aca="false">TEXT(B121,"ddd")</f>
        <v>Sat</v>
      </c>
      <c r="D121" s="8" t="s">
        <v>221</v>
      </c>
      <c r="E121" s="8" t="s">
        <v>188</v>
      </c>
      <c r="F121" s="13" t="s">
        <v>4</v>
      </c>
      <c r="G121" s="8" t="s">
        <v>11</v>
      </c>
      <c r="H121" s="8" t="s">
        <v>1344</v>
      </c>
      <c r="I121" s="11" t="s">
        <v>1345</v>
      </c>
      <c r="J121" s="11" t="s">
        <v>1346</v>
      </c>
      <c r="K121" s="11" t="s">
        <v>1347</v>
      </c>
      <c r="L121" s="11" t="s">
        <v>1348</v>
      </c>
      <c r="M121" s="11" t="s">
        <v>1349</v>
      </c>
      <c r="N121" s="11" t="s">
        <v>1350</v>
      </c>
      <c r="O121" s="8" t="s">
        <v>1351</v>
      </c>
      <c r="P121" s="8" t="s">
        <v>81</v>
      </c>
      <c r="Q121" s="11"/>
      <c r="R121" s="8" t="s">
        <v>1352</v>
      </c>
      <c r="S121" s="11" t="s">
        <v>1353</v>
      </c>
      <c r="T121" s="8" t="s">
        <v>1354</v>
      </c>
      <c r="U121" s="11" t="s">
        <v>85</v>
      </c>
      <c r="V121" s="8" t="s">
        <v>14</v>
      </c>
      <c r="W121" s="8"/>
      <c r="X121" s="8"/>
      <c r="Y121" s="12"/>
      <c r="Z121" s="8" t="s">
        <v>113</v>
      </c>
      <c r="AA121" s="8"/>
    </row>
    <row r="122" customFormat="false" ht="120" hidden="false" customHeight="true" outlineLevel="0" collapsed="false">
      <c r="A122" s="8" t="n">
        <v>121</v>
      </c>
      <c r="B122" s="9" t="n">
        <v>46362</v>
      </c>
      <c r="C122" s="8" t="str">
        <f aca="false">TEXT(B122,"ddd")</f>
        <v>Sun</v>
      </c>
      <c r="D122" s="8" t="s">
        <v>187</v>
      </c>
      <c r="E122" s="8" t="s">
        <v>188</v>
      </c>
      <c r="F122" s="10" t="s">
        <v>3</v>
      </c>
      <c r="G122" s="8" t="s">
        <v>11</v>
      </c>
      <c r="H122" s="8" t="s">
        <v>1355</v>
      </c>
      <c r="I122" s="11" t="s">
        <v>1356</v>
      </c>
      <c r="J122" s="11" t="s">
        <v>1357</v>
      </c>
      <c r="K122" s="11" t="s">
        <v>1358</v>
      </c>
      <c r="L122" s="11" t="s">
        <v>1359</v>
      </c>
      <c r="M122" s="11" t="s">
        <v>1360</v>
      </c>
      <c r="N122" s="11" t="s">
        <v>1361</v>
      </c>
      <c r="O122" s="8" t="s">
        <v>491</v>
      </c>
      <c r="P122" s="8" t="s">
        <v>66</v>
      </c>
      <c r="Q122" s="11"/>
      <c r="R122" s="8" t="s">
        <v>1362</v>
      </c>
      <c r="S122" s="11" t="s">
        <v>1363</v>
      </c>
      <c r="T122" s="8" t="s">
        <v>1364</v>
      </c>
      <c r="U122" s="11" t="s">
        <v>70</v>
      </c>
      <c r="V122" s="8" t="s">
        <v>14</v>
      </c>
      <c r="W122" s="8"/>
      <c r="X122" s="8"/>
      <c r="Y122" s="12"/>
      <c r="Z122" s="8" t="s">
        <v>113</v>
      </c>
      <c r="AA122" s="8"/>
    </row>
    <row r="123" customFormat="false" ht="120" hidden="false" customHeight="true" outlineLevel="0" collapsed="false">
      <c r="A123" s="8" t="n">
        <v>122</v>
      </c>
      <c r="B123" s="9" t="n">
        <v>46362</v>
      </c>
      <c r="C123" s="8" t="str">
        <f aca="false">TEXT(B123,"ddd")</f>
        <v>Sun</v>
      </c>
      <c r="D123" s="8" t="s">
        <v>128</v>
      </c>
      <c r="E123" s="8" t="s">
        <v>129</v>
      </c>
      <c r="F123" s="10" t="s">
        <v>3</v>
      </c>
      <c r="G123" s="8" t="s">
        <v>10</v>
      </c>
      <c r="H123" s="8" t="s">
        <v>1365</v>
      </c>
      <c r="I123" s="11" t="s">
        <v>1366</v>
      </c>
      <c r="J123" s="11" t="s">
        <v>1367</v>
      </c>
      <c r="K123" s="11" t="s">
        <v>1368</v>
      </c>
      <c r="L123" s="11" t="s">
        <v>1369</v>
      </c>
      <c r="M123" s="11" t="s">
        <v>1370</v>
      </c>
      <c r="N123" s="11" t="s">
        <v>1371</v>
      </c>
      <c r="O123" s="8" t="s">
        <v>1372</v>
      </c>
      <c r="P123" s="8" t="s">
        <v>66</v>
      </c>
      <c r="Q123" s="11"/>
      <c r="R123" s="8" t="s">
        <v>1373</v>
      </c>
      <c r="S123" s="11" t="s">
        <v>1374</v>
      </c>
      <c r="T123" s="8" t="s">
        <v>1375</v>
      </c>
      <c r="U123" s="11" t="s">
        <v>70</v>
      </c>
      <c r="V123" s="8" t="s">
        <v>14</v>
      </c>
      <c r="W123" s="8"/>
      <c r="X123" s="8"/>
      <c r="Y123" s="12"/>
      <c r="Z123" s="8" t="s">
        <v>113</v>
      </c>
      <c r="AA123" s="8"/>
    </row>
    <row r="124" customFormat="false" ht="120" hidden="false" customHeight="true" outlineLevel="0" collapsed="false">
      <c r="A124" s="8" t="n">
        <v>123</v>
      </c>
      <c r="B124" s="9" t="n">
        <v>46363</v>
      </c>
      <c r="C124" s="8" t="str">
        <f aca="false">TEXT(B124,"ddd")</f>
        <v>Mon</v>
      </c>
      <c r="D124" s="8" t="s">
        <v>56</v>
      </c>
      <c r="E124" s="8" t="s">
        <v>57</v>
      </c>
      <c r="F124" s="10" t="s">
        <v>3</v>
      </c>
      <c r="G124" s="8" t="s">
        <v>9</v>
      </c>
      <c r="H124" s="8" t="s">
        <v>1376</v>
      </c>
      <c r="I124" s="11" t="s">
        <v>1377</v>
      </c>
      <c r="J124" s="11" t="s">
        <v>1378</v>
      </c>
      <c r="K124" s="11" t="s">
        <v>1379</v>
      </c>
      <c r="L124" s="11" t="s">
        <v>1380</v>
      </c>
      <c r="M124" s="11" t="s">
        <v>1381</v>
      </c>
      <c r="N124" s="11" t="s">
        <v>1382</v>
      </c>
      <c r="O124" s="8" t="s">
        <v>1383</v>
      </c>
      <c r="P124" s="8" t="s">
        <v>66</v>
      </c>
      <c r="Q124" s="11"/>
      <c r="R124" s="8" t="s">
        <v>1384</v>
      </c>
      <c r="S124" s="11" t="s">
        <v>1385</v>
      </c>
      <c r="T124" s="8" t="s">
        <v>1386</v>
      </c>
      <c r="U124" s="11" t="s">
        <v>70</v>
      </c>
      <c r="V124" s="8" t="s">
        <v>14</v>
      </c>
      <c r="W124" s="8"/>
      <c r="X124" s="8"/>
      <c r="Y124" s="12"/>
      <c r="Z124" s="8" t="s">
        <v>71</v>
      </c>
      <c r="AA124" s="8"/>
    </row>
    <row r="125" customFormat="false" ht="120" hidden="false" customHeight="true" outlineLevel="0" collapsed="false">
      <c r="A125" s="8" t="n">
        <v>124</v>
      </c>
      <c r="B125" s="9" t="n">
        <v>46363</v>
      </c>
      <c r="C125" s="8" t="str">
        <f aca="false">TEXT(B125,"ddd")</f>
        <v>Mon</v>
      </c>
      <c r="D125" s="8" t="s">
        <v>101</v>
      </c>
      <c r="E125" s="8" t="s">
        <v>57</v>
      </c>
      <c r="F125" s="13" t="s">
        <v>4</v>
      </c>
      <c r="G125" s="8" t="s">
        <v>12</v>
      </c>
      <c r="H125" s="8" t="s">
        <v>1387</v>
      </c>
      <c r="I125" s="11" t="s">
        <v>1388</v>
      </c>
      <c r="J125" s="11" t="s">
        <v>1389</v>
      </c>
      <c r="K125" s="11" t="s">
        <v>1390</v>
      </c>
      <c r="L125" s="11" t="s">
        <v>1391</v>
      </c>
      <c r="M125" s="11" t="s">
        <v>1392</v>
      </c>
      <c r="N125" s="11" t="s">
        <v>1393</v>
      </c>
      <c r="O125" s="8" t="s">
        <v>1394</v>
      </c>
      <c r="P125" s="8" t="s">
        <v>81</v>
      </c>
      <c r="Q125" s="11"/>
      <c r="R125" s="8" t="s">
        <v>1395</v>
      </c>
      <c r="S125" s="11" t="s">
        <v>1396</v>
      </c>
      <c r="T125" s="8" t="s">
        <v>1397</v>
      </c>
      <c r="U125" s="11" t="s">
        <v>85</v>
      </c>
      <c r="V125" s="8" t="s">
        <v>14</v>
      </c>
      <c r="W125" s="8"/>
      <c r="X125" s="8"/>
      <c r="Y125" s="12"/>
      <c r="Z125" s="8" t="s">
        <v>113</v>
      </c>
      <c r="AA125" s="8"/>
    </row>
    <row r="126" customFormat="false" ht="120" hidden="false" customHeight="true" outlineLevel="0" collapsed="false">
      <c r="A126" s="8" t="n">
        <v>125</v>
      </c>
      <c r="B126" s="9" t="n">
        <v>46364</v>
      </c>
      <c r="C126" s="8" t="str">
        <f aca="false">TEXT(B126,"ddd")</f>
        <v>Tue</v>
      </c>
      <c r="D126" s="8" t="s">
        <v>56</v>
      </c>
      <c r="E126" s="8" t="s">
        <v>57</v>
      </c>
      <c r="F126" s="14" t="s">
        <v>5</v>
      </c>
      <c r="G126" s="8" t="s">
        <v>9</v>
      </c>
      <c r="H126" s="8" t="s">
        <v>1398</v>
      </c>
      <c r="I126" s="11" t="s">
        <v>1399</v>
      </c>
      <c r="J126" s="11" t="s">
        <v>1400</v>
      </c>
      <c r="K126" s="11" t="s">
        <v>1401</v>
      </c>
      <c r="L126" s="11" t="s">
        <v>1402</v>
      </c>
      <c r="M126" s="11" t="s">
        <v>1403</v>
      </c>
      <c r="N126" s="11" t="s">
        <v>1404</v>
      </c>
      <c r="O126" s="8" t="s">
        <v>121</v>
      </c>
      <c r="P126" s="8" t="s">
        <v>122</v>
      </c>
      <c r="Q126" s="11" t="s">
        <v>1405</v>
      </c>
      <c r="R126" s="8" t="s">
        <v>1406</v>
      </c>
      <c r="S126" s="11" t="s">
        <v>1407</v>
      </c>
      <c r="T126" s="8" t="s">
        <v>1408</v>
      </c>
      <c r="U126" s="11" t="s">
        <v>127</v>
      </c>
      <c r="V126" s="8" t="s">
        <v>14</v>
      </c>
      <c r="W126" s="8"/>
      <c r="X126" s="8"/>
      <c r="Y126" s="12"/>
      <c r="Z126" s="8" t="s">
        <v>113</v>
      </c>
      <c r="AA126" s="8"/>
    </row>
    <row r="127" customFormat="false" ht="120" hidden="false" customHeight="true" outlineLevel="0" collapsed="false">
      <c r="A127" s="8" t="n">
        <v>126</v>
      </c>
      <c r="B127" s="9" t="n">
        <v>46364</v>
      </c>
      <c r="C127" s="8" t="str">
        <f aca="false">TEXT(B127,"ddd")</f>
        <v>Tue</v>
      </c>
      <c r="D127" s="8" t="s">
        <v>128</v>
      </c>
      <c r="E127" s="8" t="s">
        <v>129</v>
      </c>
      <c r="F127" s="10" t="s">
        <v>3</v>
      </c>
      <c r="G127" s="8" t="s">
        <v>10</v>
      </c>
      <c r="H127" s="8" t="s">
        <v>1409</v>
      </c>
      <c r="I127" s="11" t="s">
        <v>1410</v>
      </c>
      <c r="J127" s="11" t="s">
        <v>1411</v>
      </c>
      <c r="K127" s="11" t="s">
        <v>1412</v>
      </c>
      <c r="L127" s="11" t="s">
        <v>1413</v>
      </c>
      <c r="M127" s="11" t="s">
        <v>1414</v>
      </c>
      <c r="N127" s="11" t="s">
        <v>1415</v>
      </c>
      <c r="O127" s="8" t="s">
        <v>1416</v>
      </c>
      <c r="P127" s="8" t="s">
        <v>66</v>
      </c>
      <c r="Q127" s="11"/>
      <c r="R127" s="8" t="s">
        <v>1417</v>
      </c>
      <c r="S127" s="11" t="s">
        <v>1418</v>
      </c>
      <c r="T127" s="8" t="s">
        <v>1419</v>
      </c>
      <c r="U127" s="11" t="s">
        <v>70</v>
      </c>
      <c r="V127" s="8" t="s">
        <v>14</v>
      </c>
      <c r="W127" s="8"/>
      <c r="X127" s="8"/>
      <c r="Y127" s="12"/>
      <c r="Z127" s="8" t="s">
        <v>113</v>
      </c>
      <c r="AA127" s="8"/>
    </row>
    <row r="128" customFormat="false" ht="120" hidden="false" customHeight="true" outlineLevel="0" collapsed="false">
      <c r="A128" s="8" t="n">
        <v>127</v>
      </c>
      <c r="B128" s="9" t="n">
        <v>46365</v>
      </c>
      <c r="C128" s="8" t="str">
        <f aca="false">TEXT(B128,"ddd")</f>
        <v>Wed</v>
      </c>
      <c r="D128" s="8" t="s">
        <v>56</v>
      </c>
      <c r="E128" s="8" t="s">
        <v>57</v>
      </c>
      <c r="F128" s="13" t="s">
        <v>4</v>
      </c>
      <c r="G128" s="8" t="s">
        <v>9</v>
      </c>
      <c r="H128" s="8" t="s">
        <v>1420</v>
      </c>
      <c r="I128" s="11" t="s">
        <v>1421</v>
      </c>
      <c r="J128" s="11" t="s">
        <v>1422</v>
      </c>
      <c r="K128" s="11" t="s">
        <v>1423</v>
      </c>
      <c r="L128" s="11" t="s">
        <v>1424</v>
      </c>
      <c r="M128" s="11" t="s">
        <v>1425</v>
      </c>
      <c r="N128" s="11" t="s">
        <v>1426</v>
      </c>
      <c r="O128" s="8" t="s">
        <v>1427</v>
      </c>
      <c r="P128" s="8" t="s">
        <v>81</v>
      </c>
      <c r="Q128" s="11"/>
      <c r="R128" s="8" t="s">
        <v>1428</v>
      </c>
      <c r="S128" s="11" t="s">
        <v>1429</v>
      </c>
      <c r="T128" s="8" t="s">
        <v>1430</v>
      </c>
      <c r="U128" s="11" t="s">
        <v>85</v>
      </c>
      <c r="V128" s="8" t="s">
        <v>14</v>
      </c>
      <c r="W128" s="8"/>
      <c r="X128" s="8"/>
      <c r="Y128" s="12"/>
      <c r="Z128" s="8" t="s">
        <v>71</v>
      </c>
      <c r="AA128" s="8"/>
    </row>
    <row r="129" customFormat="false" ht="120" hidden="false" customHeight="true" outlineLevel="0" collapsed="false">
      <c r="A129" s="8" t="n">
        <v>128</v>
      </c>
      <c r="B129" s="9" t="n">
        <v>46365</v>
      </c>
      <c r="C129" s="8" t="str">
        <f aca="false">TEXT(B129,"ddd")</f>
        <v>Wed</v>
      </c>
      <c r="D129" s="8" t="s">
        <v>128</v>
      </c>
      <c r="E129" s="8" t="s">
        <v>129</v>
      </c>
      <c r="F129" s="10" t="s">
        <v>3</v>
      </c>
      <c r="G129" s="8" t="s">
        <v>10</v>
      </c>
      <c r="H129" s="8" t="s">
        <v>1431</v>
      </c>
      <c r="I129" s="11" t="s">
        <v>1432</v>
      </c>
      <c r="J129" s="11" t="s">
        <v>1433</v>
      </c>
      <c r="K129" s="11" t="s">
        <v>1434</v>
      </c>
      <c r="L129" s="11" t="s">
        <v>1435</v>
      </c>
      <c r="M129" s="11" t="s">
        <v>1436</v>
      </c>
      <c r="N129" s="11" t="s">
        <v>1437</v>
      </c>
      <c r="O129" s="8" t="s">
        <v>206</v>
      </c>
      <c r="P129" s="8" t="s">
        <v>66</v>
      </c>
      <c r="Q129" s="11"/>
      <c r="R129" s="8" t="s">
        <v>1438</v>
      </c>
      <c r="S129" s="11" t="s">
        <v>1439</v>
      </c>
      <c r="T129" s="8" t="s">
        <v>1440</v>
      </c>
      <c r="U129" s="11" t="s">
        <v>70</v>
      </c>
      <c r="V129" s="8" t="s">
        <v>14</v>
      </c>
      <c r="W129" s="8"/>
      <c r="X129" s="8"/>
      <c r="Y129" s="12"/>
      <c r="Z129" s="8" t="s">
        <v>113</v>
      </c>
      <c r="AA129" s="8"/>
    </row>
    <row r="130" customFormat="false" ht="120" hidden="false" customHeight="true" outlineLevel="0" collapsed="false">
      <c r="A130" s="8" t="n">
        <v>129</v>
      </c>
      <c r="B130" s="9" t="n">
        <v>46366</v>
      </c>
      <c r="C130" s="8" t="str">
        <f aca="false">TEXT(B130,"ddd")</f>
        <v>Thu</v>
      </c>
      <c r="D130" s="8" t="s">
        <v>255</v>
      </c>
      <c r="E130" s="8" t="s">
        <v>129</v>
      </c>
      <c r="F130" s="13" t="s">
        <v>4</v>
      </c>
      <c r="G130" s="8" t="s">
        <v>10</v>
      </c>
      <c r="H130" s="8" t="s">
        <v>1441</v>
      </c>
      <c r="I130" s="11" t="s">
        <v>1442</v>
      </c>
      <c r="J130" s="11" t="s">
        <v>1443</v>
      </c>
      <c r="K130" s="11" t="s">
        <v>1444</v>
      </c>
      <c r="L130" s="11" t="s">
        <v>1445</v>
      </c>
      <c r="M130" s="11" t="s">
        <v>1446</v>
      </c>
      <c r="N130" s="11" t="s">
        <v>1447</v>
      </c>
      <c r="O130" s="8" t="s">
        <v>1448</v>
      </c>
      <c r="P130" s="8" t="s">
        <v>81</v>
      </c>
      <c r="Q130" s="11"/>
      <c r="R130" s="8" t="s">
        <v>1449</v>
      </c>
      <c r="S130" s="11" t="s">
        <v>1450</v>
      </c>
      <c r="T130" s="8" t="s">
        <v>1451</v>
      </c>
      <c r="U130" s="11" t="s">
        <v>85</v>
      </c>
      <c r="V130" s="8" t="s">
        <v>14</v>
      </c>
      <c r="W130" s="8"/>
      <c r="X130" s="8"/>
      <c r="Y130" s="12"/>
      <c r="Z130" s="8" t="s">
        <v>113</v>
      </c>
      <c r="AA130" s="8"/>
    </row>
    <row r="131" customFormat="false" ht="120" hidden="false" customHeight="true" outlineLevel="0" collapsed="false">
      <c r="A131" s="8" t="n">
        <v>130</v>
      </c>
      <c r="B131" s="9" t="n">
        <v>46366</v>
      </c>
      <c r="C131" s="8" t="str">
        <f aca="false">TEXT(B131,"ddd")</f>
        <v>Thu</v>
      </c>
      <c r="D131" s="8" t="s">
        <v>221</v>
      </c>
      <c r="E131" s="8" t="s">
        <v>188</v>
      </c>
      <c r="F131" s="10" t="s">
        <v>3</v>
      </c>
      <c r="G131" s="8" t="s">
        <v>11</v>
      </c>
      <c r="H131" s="8" t="s">
        <v>1452</v>
      </c>
      <c r="I131" s="11" t="s">
        <v>1453</v>
      </c>
      <c r="J131" s="11" t="s">
        <v>1454</v>
      </c>
      <c r="K131" s="11" t="s">
        <v>1455</v>
      </c>
      <c r="L131" s="11" t="s">
        <v>1456</v>
      </c>
      <c r="M131" s="11" t="s">
        <v>1457</v>
      </c>
      <c r="N131" s="11" t="s">
        <v>1458</v>
      </c>
      <c r="O131" s="8" t="s">
        <v>1459</v>
      </c>
      <c r="P131" s="8" t="s">
        <v>66</v>
      </c>
      <c r="Q131" s="11"/>
      <c r="R131" s="8" t="s">
        <v>1460</v>
      </c>
      <c r="S131" s="11" t="s">
        <v>1461</v>
      </c>
      <c r="T131" s="8" t="s">
        <v>1462</v>
      </c>
      <c r="U131" s="11" t="s">
        <v>70</v>
      </c>
      <c r="V131" s="8" t="s">
        <v>14</v>
      </c>
      <c r="W131" s="8"/>
      <c r="X131" s="8"/>
      <c r="Y131" s="12"/>
      <c r="Z131" s="8" t="s">
        <v>113</v>
      </c>
      <c r="AA131" s="8"/>
    </row>
    <row r="132" customFormat="false" ht="120" hidden="false" customHeight="true" outlineLevel="0" collapsed="false">
      <c r="A132" s="8" t="n">
        <v>131</v>
      </c>
      <c r="B132" s="9" t="n">
        <v>46367</v>
      </c>
      <c r="C132" s="8" t="str">
        <f aca="false">TEXT(B132,"ddd")</f>
        <v>Fri</v>
      </c>
      <c r="D132" s="8" t="s">
        <v>56</v>
      </c>
      <c r="E132" s="8" t="s">
        <v>57</v>
      </c>
      <c r="F132" s="10" t="s">
        <v>3</v>
      </c>
      <c r="G132" s="8" t="s">
        <v>9</v>
      </c>
      <c r="H132" s="8" t="s">
        <v>1463</v>
      </c>
      <c r="I132" s="11" t="s">
        <v>1464</v>
      </c>
      <c r="J132" s="11" t="s">
        <v>1465</v>
      </c>
      <c r="K132" s="11" t="s">
        <v>1466</v>
      </c>
      <c r="L132" s="11" t="s">
        <v>1467</v>
      </c>
      <c r="M132" s="11" t="s">
        <v>1468</v>
      </c>
      <c r="N132" s="11" t="s">
        <v>1469</v>
      </c>
      <c r="O132" s="8" t="s">
        <v>171</v>
      </c>
      <c r="P132" s="8" t="s">
        <v>66</v>
      </c>
      <c r="Q132" s="11"/>
      <c r="R132" s="8" t="s">
        <v>1470</v>
      </c>
      <c r="S132" s="11" t="s">
        <v>1471</v>
      </c>
      <c r="T132" s="8" t="s">
        <v>1472</v>
      </c>
      <c r="U132" s="11" t="s">
        <v>70</v>
      </c>
      <c r="V132" s="8" t="s">
        <v>14</v>
      </c>
      <c r="W132" s="8"/>
      <c r="X132" s="8"/>
      <c r="Y132" s="12"/>
      <c r="Z132" s="8" t="s">
        <v>113</v>
      </c>
      <c r="AA132" s="8"/>
    </row>
    <row r="133" customFormat="false" ht="120" hidden="false" customHeight="true" outlineLevel="0" collapsed="false">
      <c r="A133" s="8" t="n">
        <v>132</v>
      </c>
      <c r="B133" s="9" t="n">
        <v>46367</v>
      </c>
      <c r="C133" s="8" t="str">
        <f aca="false">TEXT(B133,"ddd")</f>
        <v>Fri</v>
      </c>
      <c r="D133" s="8" t="s">
        <v>221</v>
      </c>
      <c r="E133" s="8" t="s">
        <v>188</v>
      </c>
      <c r="F133" s="13" t="s">
        <v>4</v>
      </c>
      <c r="G133" s="8" t="s">
        <v>11</v>
      </c>
      <c r="H133" s="8" t="s">
        <v>1473</v>
      </c>
      <c r="I133" s="11" t="s">
        <v>1474</v>
      </c>
      <c r="J133" s="11" t="s">
        <v>1475</v>
      </c>
      <c r="K133" s="11" t="s">
        <v>1476</v>
      </c>
      <c r="L133" s="11" t="s">
        <v>1477</v>
      </c>
      <c r="M133" s="11" t="s">
        <v>1478</v>
      </c>
      <c r="N133" s="11" t="s">
        <v>1479</v>
      </c>
      <c r="O133" s="8" t="s">
        <v>1480</v>
      </c>
      <c r="P133" s="8" t="s">
        <v>81</v>
      </c>
      <c r="Q133" s="11"/>
      <c r="R133" s="8" t="s">
        <v>1481</v>
      </c>
      <c r="S133" s="11" t="s">
        <v>1482</v>
      </c>
      <c r="T133" s="8" t="s">
        <v>1483</v>
      </c>
      <c r="U133" s="11" t="s">
        <v>85</v>
      </c>
      <c r="V133" s="8" t="s">
        <v>14</v>
      </c>
      <c r="W133" s="8"/>
      <c r="X133" s="8"/>
      <c r="Y133" s="12"/>
      <c r="Z133" s="8" t="s">
        <v>113</v>
      </c>
      <c r="AA133" s="8"/>
    </row>
    <row r="134" customFormat="false" ht="120" hidden="false" customHeight="true" outlineLevel="0" collapsed="false">
      <c r="A134" s="8" t="n">
        <v>133</v>
      </c>
      <c r="B134" s="9" t="n">
        <v>46368</v>
      </c>
      <c r="C134" s="8" t="str">
        <f aca="false">TEXT(B134,"ddd")</f>
        <v>Sat</v>
      </c>
      <c r="D134" s="8" t="s">
        <v>187</v>
      </c>
      <c r="E134" s="8" t="s">
        <v>188</v>
      </c>
      <c r="F134" s="13" t="s">
        <v>4</v>
      </c>
      <c r="G134" s="8" t="s">
        <v>11</v>
      </c>
      <c r="H134" s="8" t="s">
        <v>1484</v>
      </c>
      <c r="I134" s="11" t="s">
        <v>1485</v>
      </c>
      <c r="J134" s="11" t="s">
        <v>1486</v>
      </c>
      <c r="K134" s="11" t="s">
        <v>1487</v>
      </c>
      <c r="L134" s="11" t="s">
        <v>1488</v>
      </c>
      <c r="M134" s="11" t="s">
        <v>1489</v>
      </c>
      <c r="N134" s="11" t="s">
        <v>1490</v>
      </c>
      <c r="O134" s="8" t="s">
        <v>1491</v>
      </c>
      <c r="P134" s="8" t="s">
        <v>81</v>
      </c>
      <c r="Q134" s="11"/>
      <c r="R134" s="8" t="s">
        <v>1492</v>
      </c>
      <c r="S134" s="11" t="s">
        <v>1493</v>
      </c>
      <c r="T134" s="8" t="s">
        <v>1494</v>
      </c>
      <c r="U134" s="11" t="s">
        <v>85</v>
      </c>
      <c r="V134" s="8" t="s">
        <v>14</v>
      </c>
      <c r="W134" s="8"/>
      <c r="X134" s="8"/>
      <c r="Y134" s="12"/>
      <c r="Z134" s="8" t="s">
        <v>113</v>
      </c>
      <c r="AA134" s="8"/>
    </row>
    <row r="135" customFormat="false" ht="120" hidden="false" customHeight="true" outlineLevel="0" collapsed="false">
      <c r="A135" s="8" t="n">
        <v>134</v>
      </c>
      <c r="B135" s="9" t="n">
        <v>46368</v>
      </c>
      <c r="C135" s="8" t="str">
        <f aca="false">TEXT(B135,"ddd")</f>
        <v>Sat</v>
      </c>
      <c r="D135" s="8" t="s">
        <v>128</v>
      </c>
      <c r="E135" s="8" t="s">
        <v>129</v>
      </c>
      <c r="F135" s="10" t="s">
        <v>3</v>
      </c>
      <c r="G135" s="8" t="s">
        <v>10</v>
      </c>
      <c r="H135" s="8" t="s">
        <v>1495</v>
      </c>
      <c r="I135" s="11" t="s">
        <v>1496</v>
      </c>
      <c r="J135" s="11" t="s">
        <v>1497</v>
      </c>
      <c r="K135" s="11" t="s">
        <v>1498</v>
      </c>
      <c r="L135" s="11" t="s">
        <v>1499</v>
      </c>
      <c r="M135" s="11" t="s">
        <v>1500</v>
      </c>
      <c r="N135" s="11" t="s">
        <v>1501</v>
      </c>
      <c r="O135" s="8" t="s">
        <v>1502</v>
      </c>
      <c r="P135" s="8" t="s">
        <v>66</v>
      </c>
      <c r="Q135" s="11"/>
      <c r="R135" s="8" t="s">
        <v>1503</v>
      </c>
      <c r="S135" s="11" t="s">
        <v>1504</v>
      </c>
      <c r="T135" s="8" t="s">
        <v>1505</v>
      </c>
      <c r="U135" s="11" t="s">
        <v>70</v>
      </c>
      <c r="V135" s="8" t="s">
        <v>14</v>
      </c>
      <c r="W135" s="8"/>
      <c r="X135" s="8"/>
      <c r="Y135" s="12"/>
      <c r="Z135" s="8" t="s">
        <v>113</v>
      </c>
      <c r="AA135" s="8"/>
    </row>
    <row r="136" customFormat="false" ht="120" hidden="false" customHeight="true" outlineLevel="0" collapsed="false">
      <c r="A136" s="8" t="n">
        <v>135</v>
      </c>
      <c r="B136" s="9" t="n">
        <v>46369</v>
      </c>
      <c r="C136" s="8" t="str">
        <f aca="false">TEXT(B136,"ddd")</f>
        <v>Sun</v>
      </c>
      <c r="D136" s="8" t="s">
        <v>233</v>
      </c>
      <c r="E136" s="8" t="s">
        <v>57</v>
      </c>
      <c r="F136" s="14" t="s">
        <v>5</v>
      </c>
      <c r="G136" s="8" t="s">
        <v>12</v>
      </c>
      <c r="H136" s="8" t="s">
        <v>1506</v>
      </c>
      <c r="I136" s="11" t="s">
        <v>1507</v>
      </c>
      <c r="J136" s="11" t="s">
        <v>1508</v>
      </c>
      <c r="K136" s="11" t="s">
        <v>1509</v>
      </c>
      <c r="L136" s="11" t="s">
        <v>1510</v>
      </c>
      <c r="M136" s="11" t="s">
        <v>1511</v>
      </c>
      <c r="N136" s="11" t="s">
        <v>1512</v>
      </c>
      <c r="O136" s="8" t="s">
        <v>206</v>
      </c>
      <c r="P136" s="8" t="s">
        <v>122</v>
      </c>
      <c r="Q136" s="11" t="s">
        <v>1513</v>
      </c>
      <c r="R136" s="8" t="s">
        <v>1514</v>
      </c>
      <c r="S136" s="11" t="s">
        <v>1515</v>
      </c>
      <c r="T136" s="8" t="s">
        <v>1516</v>
      </c>
      <c r="U136" s="11" t="s">
        <v>127</v>
      </c>
      <c r="V136" s="8" t="s">
        <v>14</v>
      </c>
      <c r="W136" s="8"/>
      <c r="X136" s="8"/>
      <c r="Y136" s="12"/>
      <c r="Z136" s="8" t="s">
        <v>113</v>
      </c>
      <c r="AA136" s="8"/>
    </row>
    <row r="137" customFormat="false" ht="120" hidden="false" customHeight="true" outlineLevel="0" collapsed="false">
      <c r="A137" s="8" t="n">
        <v>136</v>
      </c>
      <c r="B137" s="9" t="n">
        <v>46369</v>
      </c>
      <c r="C137" s="8" t="str">
        <f aca="false">TEXT(B137,"ddd")</f>
        <v>Sun</v>
      </c>
      <c r="D137" s="8" t="s">
        <v>221</v>
      </c>
      <c r="E137" s="8" t="s">
        <v>188</v>
      </c>
      <c r="F137" s="10" t="s">
        <v>3</v>
      </c>
      <c r="G137" s="8" t="s">
        <v>11</v>
      </c>
      <c r="H137" s="8" t="s">
        <v>1517</v>
      </c>
      <c r="I137" s="11" t="s">
        <v>1518</v>
      </c>
      <c r="J137" s="11" t="s">
        <v>1519</v>
      </c>
      <c r="K137" s="11" t="s">
        <v>1520</v>
      </c>
      <c r="L137" s="11" t="s">
        <v>1521</v>
      </c>
      <c r="M137" s="11" t="s">
        <v>1522</v>
      </c>
      <c r="N137" s="11" t="s">
        <v>1523</v>
      </c>
      <c r="O137" s="8" t="s">
        <v>147</v>
      </c>
      <c r="P137" s="8" t="s">
        <v>66</v>
      </c>
      <c r="Q137" s="11"/>
      <c r="R137" s="8" t="s">
        <v>1524</v>
      </c>
      <c r="S137" s="11" t="s">
        <v>1525</v>
      </c>
      <c r="T137" s="8" t="s">
        <v>1526</v>
      </c>
      <c r="U137" s="11" t="s">
        <v>70</v>
      </c>
      <c r="V137" s="8" t="s">
        <v>14</v>
      </c>
      <c r="W137" s="8"/>
      <c r="X137" s="8"/>
      <c r="Y137" s="12"/>
      <c r="Z137" s="8" t="s">
        <v>113</v>
      </c>
      <c r="AA137" s="8"/>
    </row>
    <row r="138" customFormat="false" ht="120" hidden="false" customHeight="true" outlineLevel="0" collapsed="false">
      <c r="A138" s="8" t="n">
        <v>137</v>
      </c>
      <c r="B138" s="9" t="n">
        <v>46370</v>
      </c>
      <c r="C138" s="8" t="str">
        <f aca="false">TEXT(B138,"ddd")</f>
        <v>Mon</v>
      </c>
      <c r="D138" s="8" t="s">
        <v>56</v>
      </c>
      <c r="E138" s="8" t="s">
        <v>57</v>
      </c>
      <c r="F138" s="13" t="s">
        <v>4</v>
      </c>
      <c r="G138" s="8" t="s">
        <v>9</v>
      </c>
      <c r="H138" s="8" t="s">
        <v>1527</v>
      </c>
      <c r="I138" s="11" t="s">
        <v>1528</v>
      </c>
      <c r="J138" s="11" t="s">
        <v>1529</v>
      </c>
      <c r="K138" s="11" t="s">
        <v>1530</v>
      </c>
      <c r="L138" s="11" t="s">
        <v>1531</v>
      </c>
      <c r="M138" s="11" t="s">
        <v>1532</v>
      </c>
      <c r="N138" s="11" t="s">
        <v>1533</v>
      </c>
      <c r="O138" s="8" t="s">
        <v>1534</v>
      </c>
      <c r="P138" s="8" t="s">
        <v>81</v>
      </c>
      <c r="Q138" s="11"/>
      <c r="R138" s="8" t="s">
        <v>1535</v>
      </c>
      <c r="S138" s="11" t="s">
        <v>1536</v>
      </c>
      <c r="T138" s="8" t="s">
        <v>1537</v>
      </c>
      <c r="U138" s="11" t="s">
        <v>85</v>
      </c>
      <c r="V138" s="8" t="s">
        <v>14</v>
      </c>
      <c r="W138" s="8"/>
      <c r="X138" s="8"/>
      <c r="Y138" s="12"/>
      <c r="Z138" s="8" t="s">
        <v>71</v>
      </c>
      <c r="AA138" s="8"/>
    </row>
    <row r="139" customFormat="false" ht="120" hidden="false" customHeight="true" outlineLevel="0" collapsed="false">
      <c r="A139" s="8" t="n">
        <v>138</v>
      </c>
      <c r="B139" s="9" t="n">
        <v>46370</v>
      </c>
      <c r="C139" s="8" t="str">
        <f aca="false">TEXT(B139,"ddd")</f>
        <v>Mon</v>
      </c>
      <c r="D139" s="8" t="s">
        <v>72</v>
      </c>
      <c r="E139" s="8" t="s">
        <v>57</v>
      </c>
      <c r="F139" s="10" t="s">
        <v>3</v>
      </c>
      <c r="G139" s="8" t="s">
        <v>9</v>
      </c>
      <c r="H139" s="8" t="s">
        <v>1538</v>
      </c>
      <c r="I139" s="11" t="s">
        <v>1539</v>
      </c>
      <c r="J139" s="11" t="s">
        <v>1540</v>
      </c>
      <c r="K139" s="11" t="s">
        <v>1541</v>
      </c>
      <c r="L139" s="11" t="s">
        <v>1542</v>
      </c>
      <c r="M139" s="11" t="s">
        <v>1543</v>
      </c>
      <c r="N139" s="11" t="s">
        <v>1544</v>
      </c>
      <c r="O139" s="8" t="s">
        <v>369</v>
      </c>
      <c r="P139" s="8" t="s">
        <v>66</v>
      </c>
      <c r="Q139" s="11"/>
      <c r="R139" s="8" t="s">
        <v>1545</v>
      </c>
      <c r="S139" s="11" t="s">
        <v>1546</v>
      </c>
      <c r="T139" s="8" t="s">
        <v>1547</v>
      </c>
      <c r="U139" s="11" t="s">
        <v>70</v>
      </c>
      <c r="V139" s="8" t="s">
        <v>14</v>
      </c>
      <c r="W139" s="8"/>
      <c r="X139" s="8"/>
      <c r="Y139" s="12"/>
      <c r="Z139" s="8" t="s">
        <v>113</v>
      </c>
      <c r="AA139" s="8"/>
    </row>
    <row r="140" customFormat="false" ht="120" hidden="false" customHeight="true" outlineLevel="0" collapsed="false">
      <c r="A140" s="8" t="n">
        <v>139</v>
      </c>
      <c r="B140" s="9" t="n">
        <v>46371</v>
      </c>
      <c r="C140" s="8" t="str">
        <f aca="false">TEXT(B140,"ddd")</f>
        <v>Tue</v>
      </c>
      <c r="D140" s="8" t="s">
        <v>255</v>
      </c>
      <c r="E140" s="8" t="s">
        <v>129</v>
      </c>
      <c r="F140" s="13" t="s">
        <v>4</v>
      </c>
      <c r="G140" s="8" t="s">
        <v>10</v>
      </c>
      <c r="H140" s="8" t="s">
        <v>1548</v>
      </c>
      <c r="I140" s="11" t="s">
        <v>1549</v>
      </c>
      <c r="J140" s="11" t="s">
        <v>1550</v>
      </c>
      <c r="K140" s="11" t="s">
        <v>1551</v>
      </c>
      <c r="L140" s="11" t="s">
        <v>1552</v>
      </c>
      <c r="M140" s="11" t="s">
        <v>1553</v>
      </c>
      <c r="N140" s="11" t="s">
        <v>1554</v>
      </c>
      <c r="O140" s="8" t="s">
        <v>80</v>
      </c>
      <c r="P140" s="8" t="s">
        <v>81</v>
      </c>
      <c r="Q140" s="11"/>
      <c r="R140" s="8" t="s">
        <v>1555</v>
      </c>
      <c r="S140" s="11" t="s">
        <v>1556</v>
      </c>
      <c r="T140" s="8" t="s">
        <v>1557</v>
      </c>
      <c r="U140" s="11" t="s">
        <v>85</v>
      </c>
      <c r="V140" s="8" t="s">
        <v>14</v>
      </c>
      <c r="W140" s="8"/>
      <c r="X140" s="8"/>
      <c r="Y140" s="12"/>
      <c r="Z140" s="8" t="s">
        <v>113</v>
      </c>
      <c r="AA140" s="8"/>
    </row>
    <row r="141" customFormat="false" ht="120" hidden="false" customHeight="true" outlineLevel="0" collapsed="false">
      <c r="A141" s="8" t="n">
        <v>140</v>
      </c>
      <c r="B141" s="9" t="n">
        <v>46371</v>
      </c>
      <c r="C141" s="8" t="str">
        <f aca="false">TEXT(B141,"ddd")</f>
        <v>Tue</v>
      </c>
      <c r="D141" s="8" t="s">
        <v>128</v>
      </c>
      <c r="E141" s="8" t="s">
        <v>129</v>
      </c>
      <c r="F141" s="13" t="s">
        <v>4</v>
      </c>
      <c r="G141" s="8" t="s">
        <v>10</v>
      </c>
      <c r="H141" s="8" t="s">
        <v>1558</v>
      </c>
      <c r="I141" s="11" t="s">
        <v>1559</v>
      </c>
      <c r="J141" s="11" t="s">
        <v>1560</v>
      </c>
      <c r="K141" s="11" t="s">
        <v>1561</v>
      </c>
      <c r="L141" s="11" t="s">
        <v>1562</v>
      </c>
      <c r="M141" s="11" t="s">
        <v>1563</v>
      </c>
      <c r="N141" s="11" t="s">
        <v>1564</v>
      </c>
      <c r="O141" s="8" t="s">
        <v>183</v>
      </c>
      <c r="P141" s="8" t="s">
        <v>81</v>
      </c>
      <c r="Q141" s="11"/>
      <c r="R141" s="8" t="s">
        <v>1565</v>
      </c>
      <c r="S141" s="11" t="s">
        <v>1566</v>
      </c>
      <c r="T141" s="8" t="s">
        <v>1567</v>
      </c>
      <c r="U141" s="11" t="s">
        <v>85</v>
      </c>
      <c r="V141" s="8" t="s">
        <v>14</v>
      </c>
      <c r="W141" s="8"/>
      <c r="X141" s="8" t="s">
        <v>1568</v>
      </c>
      <c r="Y141" s="12" t="s">
        <v>1569</v>
      </c>
      <c r="Z141" s="8" t="s">
        <v>88</v>
      </c>
      <c r="AA141" s="8" t="s">
        <v>1570</v>
      </c>
    </row>
    <row r="142" customFormat="false" ht="120" hidden="false" customHeight="true" outlineLevel="0" collapsed="false">
      <c r="A142" s="8" t="n">
        <v>141</v>
      </c>
      <c r="B142" s="9" t="n">
        <v>46372</v>
      </c>
      <c r="C142" s="8" t="str">
        <f aca="false">TEXT(B142,"ddd")</f>
        <v>Wed</v>
      </c>
      <c r="D142" s="8" t="s">
        <v>187</v>
      </c>
      <c r="E142" s="8" t="s">
        <v>188</v>
      </c>
      <c r="F142" s="10" t="s">
        <v>3</v>
      </c>
      <c r="G142" s="8" t="s">
        <v>11</v>
      </c>
      <c r="H142" s="8" t="s">
        <v>1571</v>
      </c>
      <c r="I142" s="11" t="s">
        <v>1572</v>
      </c>
      <c r="J142" s="11" t="s">
        <v>1573</v>
      </c>
      <c r="K142" s="11" t="s">
        <v>1574</v>
      </c>
      <c r="L142" s="11" t="s">
        <v>1575</v>
      </c>
      <c r="M142" s="11" t="s">
        <v>1576</v>
      </c>
      <c r="N142" s="11" t="s">
        <v>1577</v>
      </c>
      <c r="O142" s="8" t="s">
        <v>1578</v>
      </c>
      <c r="P142" s="8" t="s">
        <v>66</v>
      </c>
      <c r="Q142" s="11"/>
      <c r="R142" s="8" t="s">
        <v>1579</v>
      </c>
      <c r="S142" s="11" t="s">
        <v>1580</v>
      </c>
      <c r="T142" s="8" t="s">
        <v>1581</v>
      </c>
      <c r="U142" s="11" t="s">
        <v>70</v>
      </c>
      <c r="V142" s="8" t="s">
        <v>14</v>
      </c>
      <c r="W142" s="8"/>
      <c r="X142" s="8"/>
      <c r="Y142" s="12"/>
      <c r="Z142" s="8" t="s">
        <v>113</v>
      </c>
      <c r="AA142" s="8"/>
    </row>
    <row r="143" customFormat="false" ht="120" hidden="false" customHeight="true" outlineLevel="0" collapsed="false">
      <c r="A143" s="8" t="n">
        <v>142</v>
      </c>
      <c r="B143" s="9" t="n">
        <v>46372</v>
      </c>
      <c r="C143" s="8" t="str">
        <f aca="false">TEXT(B143,"ddd")</f>
        <v>Wed</v>
      </c>
      <c r="D143" s="8" t="s">
        <v>128</v>
      </c>
      <c r="E143" s="8" t="s">
        <v>129</v>
      </c>
      <c r="F143" s="10" t="s">
        <v>3</v>
      </c>
      <c r="G143" s="8" t="s">
        <v>10</v>
      </c>
      <c r="H143" s="8" t="s">
        <v>1582</v>
      </c>
      <c r="I143" s="11" t="s">
        <v>1583</v>
      </c>
      <c r="J143" s="11" t="s">
        <v>1584</v>
      </c>
      <c r="K143" s="11" t="s">
        <v>1585</v>
      </c>
      <c r="L143" s="11" t="s">
        <v>1586</v>
      </c>
      <c r="M143" s="11" t="s">
        <v>1587</v>
      </c>
      <c r="N143" s="11" t="s">
        <v>1588</v>
      </c>
      <c r="O143" s="8" t="s">
        <v>80</v>
      </c>
      <c r="P143" s="8" t="s">
        <v>66</v>
      </c>
      <c r="Q143" s="11"/>
      <c r="R143" s="8" t="s">
        <v>1589</v>
      </c>
      <c r="S143" s="11" t="s">
        <v>1590</v>
      </c>
      <c r="T143" s="8" t="s">
        <v>1591</v>
      </c>
      <c r="U143" s="11" t="s">
        <v>70</v>
      </c>
      <c r="V143" s="8" t="s">
        <v>14</v>
      </c>
      <c r="W143" s="8"/>
      <c r="X143" s="8"/>
      <c r="Y143" s="12"/>
      <c r="Z143" s="8" t="s">
        <v>113</v>
      </c>
      <c r="AA143" s="8"/>
    </row>
    <row r="144" customFormat="false" ht="120" hidden="false" customHeight="true" outlineLevel="0" collapsed="false">
      <c r="A144" s="8" t="n">
        <v>143</v>
      </c>
      <c r="B144" s="9" t="n">
        <v>46373</v>
      </c>
      <c r="C144" s="8" t="str">
        <f aca="false">TEXT(B144,"ddd")</f>
        <v>Thu</v>
      </c>
      <c r="D144" s="8" t="s">
        <v>56</v>
      </c>
      <c r="E144" s="8" t="s">
        <v>57</v>
      </c>
      <c r="F144" s="13" t="s">
        <v>4</v>
      </c>
      <c r="G144" s="8" t="s">
        <v>9</v>
      </c>
      <c r="H144" s="8" t="s">
        <v>1592</v>
      </c>
      <c r="I144" s="11" t="s">
        <v>1593</v>
      </c>
      <c r="J144" s="11" t="s">
        <v>1594</v>
      </c>
      <c r="K144" s="11" t="s">
        <v>1595</v>
      </c>
      <c r="L144" s="11" t="s">
        <v>1596</v>
      </c>
      <c r="M144" s="11" t="s">
        <v>1597</v>
      </c>
      <c r="N144" s="11" t="s">
        <v>1598</v>
      </c>
      <c r="O144" s="8" t="s">
        <v>608</v>
      </c>
      <c r="P144" s="8" t="s">
        <v>81</v>
      </c>
      <c r="Q144" s="11"/>
      <c r="R144" s="8" t="s">
        <v>1599</v>
      </c>
      <c r="S144" s="11" t="s">
        <v>1600</v>
      </c>
      <c r="T144" s="8" t="s">
        <v>1601</v>
      </c>
      <c r="U144" s="11" t="s">
        <v>85</v>
      </c>
      <c r="V144" s="8" t="s">
        <v>14</v>
      </c>
      <c r="W144" s="8"/>
      <c r="X144" s="8"/>
      <c r="Y144" s="12"/>
      <c r="Z144" s="8" t="s">
        <v>71</v>
      </c>
      <c r="AA144" s="8"/>
    </row>
    <row r="145" customFormat="false" ht="120" hidden="false" customHeight="true" outlineLevel="0" collapsed="false">
      <c r="A145" s="8" t="n">
        <v>144</v>
      </c>
      <c r="B145" s="9" t="n">
        <v>46373</v>
      </c>
      <c r="C145" s="8" t="str">
        <f aca="false">TEXT(B145,"ddd")</f>
        <v>Thu</v>
      </c>
      <c r="D145" s="8" t="s">
        <v>72</v>
      </c>
      <c r="E145" s="8" t="s">
        <v>57</v>
      </c>
      <c r="F145" s="10" t="s">
        <v>3</v>
      </c>
      <c r="G145" s="8" t="s">
        <v>9</v>
      </c>
      <c r="H145" s="8" t="s">
        <v>1602</v>
      </c>
      <c r="I145" s="11" t="s">
        <v>1603</v>
      </c>
      <c r="J145" s="11" t="s">
        <v>1604</v>
      </c>
      <c r="K145" s="11" t="s">
        <v>1605</v>
      </c>
      <c r="L145" s="11" t="s">
        <v>1606</v>
      </c>
      <c r="M145" s="11" t="s">
        <v>1607</v>
      </c>
      <c r="N145" s="11" t="s">
        <v>1608</v>
      </c>
      <c r="O145" s="8" t="s">
        <v>1609</v>
      </c>
      <c r="P145" s="8" t="s">
        <v>66</v>
      </c>
      <c r="Q145" s="11"/>
      <c r="R145" s="8" t="s">
        <v>1610</v>
      </c>
      <c r="S145" s="11" t="s">
        <v>1611</v>
      </c>
      <c r="T145" s="8" t="s">
        <v>1612</v>
      </c>
      <c r="U145" s="11" t="s">
        <v>70</v>
      </c>
      <c r="V145" s="8" t="s">
        <v>14</v>
      </c>
      <c r="W145" s="8"/>
      <c r="X145" s="8"/>
      <c r="Y145" s="12"/>
      <c r="Z145" s="8" t="s">
        <v>113</v>
      </c>
      <c r="AA145" s="8"/>
    </row>
    <row r="146" customFormat="false" ht="120" hidden="false" customHeight="true" outlineLevel="0" collapsed="false">
      <c r="A146" s="8" t="n">
        <v>145</v>
      </c>
      <c r="B146" s="9" t="n">
        <v>46374</v>
      </c>
      <c r="C146" s="8" t="str">
        <f aca="false">TEXT(B146,"ddd")</f>
        <v>Fri</v>
      </c>
      <c r="D146" s="8" t="s">
        <v>56</v>
      </c>
      <c r="E146" s="8" t="s">
        <v>57</v>
      </c>
      <c r="F146" s="14" t="s">
        <v>5</v>
      </c>
      <c r="G146" s="8" t="s">
        <v>9</v>
      </c>
      <c r="H146" s="8" t="s">
        <v>1613</v>
      </c>
      <c r="I146" s="11" t="s">
        <v>1614</v>
      </c>
      <c r="J146" s="11" t="s">
        <v>1615</v>
      </c>
      <c r="K146" s="11" t="s">
        <v>1616</v>
      </c>
      <c r="L146" s="11" t="s">
        <v>1617</v>
      </c>
      <c r="M146" s="11" t="s">
        <v>1618</v>
      </c>
      <c r="N146" s="11" t="s">
        <v>1619</v>
      </c>
      <c r="O146" s="8" t="s">
        <v>1620</v>
      </c>
      <c r="P146" s="8" t="s">
        <v>122</v>
      </c>
      <c r="Q146" s="11" t="s">
        <v>1621</v>
      </c>
      <c r="R146" s="8" t="s">
        <v>1622</v>
      </c>
      <c r="S146" s="11" t="s">
        <v>1623</v>
      </c>
      <c r="T146" s="8" t="s">
        <v>1624</v>
      </c>
      <c r="U146" s="11" t="s">
        <v>127</v>
      </c>
      <c r="V146" s="8" t="s">
        <v>14</v>
      </c>
      <c r="W146" s="8"/>
      <c r="X146" s="8"/>
      <c r="Y146" s="12"/>
      <c r="Z146" s="8" t="s">
        <v>113</v>
      </c>
      <c r="AA146" s="8"/>
    </row>
    <row r="147" customFormat="false" ht="120" hidden="false" customHeight="true" outlineLevel="0" collapsed="false">
      <c r="A147" s="8" t="n">
        <v>146</v>
      </c>
      <c r="B147" s="9" t="n">
        <v>46374</v>
      </c>
      <c r="C147" s="8" t="str">
        <f aca="false">TEXT(B147,"ddd")</f>
        <v>Fri</v>
      </c>
      <c r="D147" s="8" t="s">
        <v>221</v>
      </c>
      <c r="E147" s="8" t="s">
        <v>188</v>
      </c>
      <c r="F147" s="10" t="s">
        <v>3</v>
      </c>
      <c r="G147" s="8" t="s">
        <v>11</v>
      </c>
      <c r="H147" s="8" t="s">
        <v>1625</v>
      </c>
      <c r="I147" s="11" t="s">
        <v>1626</v>
      </c>
      <c r="J147" s="11" t="s">
        <v>1627</v>
      </c>
      <c r="K147" s="11" t="s">
        <v>1628</v>
      </c>
      <c r="L147" s="11" t="s">
        <v>1629</v>
      </c>
      <c r="M147" s="11" t="s">
        <v>1630</v>
      </c>
      <c r="N147" s="11" t="s">
        <v>1631</v>
      </c>
      <c r="O147" s="8" t="s">
        <v>1632</v>
      </c>
      <c r="P147" s="8" t="s">
        <v>66</v>
      </c>
      <c r="Q147" s="11"/>
      <c r="R147" s="8" t="s">
        <v>1633</v>
      </c>
      <c r="S147" s="11" t="s">
        <v>1634</v>
      </c>
      <c r="T147" s="8" t="s">
        <v>1635</v>
      </c>
      <c r="U147" s="11" t="s">
        <v>70</v>
      </c>
      <c r="V147" s="8" t="s">
        <v>14</v>
      </c>
      <c r="W147" s="8"/>
      <c r="X147" s="8"/>
      <c r="Y147" s="12"/>
      <c r="Z147" s="8" t="s">
        <v>113</v>
      </c>
      <c r="AA147" s="8"/>
    </row>
    <row r="148" customFormat="false" ht="120" hidden="false" customHeight="true" outlineLevel="0" collapsed="false">
      <c r="A148" s="8" t="n">
        <v>147</v>
      </c>
      <c r="B148" s="9" t="n">
        <v>46375</v>
      </c>
      <c r="C148" s="8" t="str">
        <f aca="false">TEXT(B148,"ddd")</f>
        <v>Sat</v>
      </c>
      <c r="D148" s="8" t="s">
        <v>255</v>
      </c>
      <c r="E148" s="8" t="s">
        <v>129</v>
      </c>
      <c r="F148" s="13" t="s">
        <v>4</v>
      </c>
      <c r="G148" s="8" t="s">
        <v>10</v>
      </c>
      <c r="H148" s="8" t="s">
        <v>1636</v>
      </c>
      <c r="I148" s="11" t="s">
        <v>1637</v>
      </c>
      <c r="J148" s="11" t="s">
        <v>1638</v>
      </c>
      <c r="K148" s="11" t="s">
        <v>1639</v>
      </c>
      <c r="L148" s="11" t="s">
        <v>1640</v>
      </c>
      <c r="M148" s="11" t="s">
        <v>1641</v>
      </c>
      <c r="N148" s="11" t="s">
        <v>1642</v>
      </c>
      <c r="O148" s="8" t="s">
        <v>274</v>
      </c>
      <c r="P148" s="8" t="s">
        <v>81</v>
      </c>
      <c r="Q148" s="11"/>
      <c r="R148" s="8" t="s">
        <v>1643</v>
      </c>
      <c r="S148" s="11" t="s">
        <v>1644</v>
      </c>
      <c r="T148" s="8" t="s">
        <v>1645</v>
      </c>
      <c r="U148" s="11" t="s">
        <v>85</v>
      </c>
      <c r="V148" s="8" t="s">
        <v>14</v>
      </c>
      <c r="W148" s="8"/>
      <c r="X148" s="8"/>
      <c r="Y148" s="12"/>
      <c r="Z148" s="8" t="s">
        <v>113</v>
      </c>
      <c r="AA148" s="8"/>
    </row>
    <row r="149" customFormat="false" ht="120" hidden="false" customHeight="true" outlineLevel="0" collapsed="false">
      <c r="A149" s="8" t="n">
        <v>148</v>
      </c>
      <c r="B149" s="9" t="n">
        <v>46375</v>
      </c>
      <c r="C149" s="8" t="str">
        <f aca="false">TEXT(B149,"ddd")</f>
        <v>Sat</v>
      </c>
      <c r="D149" s="8" t="s">
        <v>128</v>
      </c>
      <c r="E149" s="8" t="s">
        <v>129</v>
      </c>
      <c r="F149" s="10" t="s">
        <v>3</v>
      </c>
      <c r="G149" s="8" t="s">
        <v>10</v>
      </c>
      <c r="H149" s="8" t="s">
        <v>1646</v>
      </c>
      <c r="I149" s="11" t="s">
        <v>1647</v>
      </c>
      <c r="J149" s="11" t="s">
        <v>1648</v>
      </c>
      <c r="K149" s="11" t="s">
        <v>1649</v>
      </c>
      <c r="L149" s="11" t="s">
        <v>1650</v>
      </c>
      <c r="M149" s="11" t="s">
        <v>1651</v>
      </c>
      <c r="N149" s="11" t="s">
        <v>1652</v>
      </c>
      <c r="O149" s="8" t="s">
        <v>555</v>
      </c>
      <c r="P149" s="8" t="s">
        <v>66</v>
      </c>
      <c r="Q149" s="11"/>
      <c r="R149" s="8" t="s">
        <v>1653</v>
      </c>
      <c r="S149" s="11" t="s">
        <v>1654</v>
      </c>
      <c r="T149" s="8" t="s">
        <v>1655</v>
      </c>
      <c r="U149" s="11" t="s">
        <v>70</v>
      </c>
      <c r="V149" s="8" t="s">
        <v>14</v>
      </c>
      <c r="W149" s="8"/>
      <c r="X149" s="8"/>
      <c r="Y149" s="12"/>
      <c r="Z149" s="8" t="s">
        <v>113</v>
      </c>
      <c r="AA149" s="8"/>
    </row>
    <row r="150" customFormat="false" ht="120" hidden="false" customHeight="true" outlineLevel="0" collapsed="false">
      <c r="A150" s="8" t="n">
        <v>149</v>
      </c>
      <c r="B150" s="9" t="n">
        <v>46376</v>
      </c>
      <c r="C150" s="8" t="str">
        <f aca="false">TEXT(B150,"ddd")</f>
        <v>Sun</v>
      </c>
      <c r="D150" s="8" t="s">
        <v>56</v>
      </c>
      <c r="E150" s="8" t="s">
        <v>57</v>
      </c>
      <c r="F150" s="13" t="s">
        <v>4</v>
      </c>
      <c r="G150" s="8" t="s">
        <v>9</v>
      </c>
      <c r="H150" s="8" t="s">
        <v>1656</v>
      </c>
      <c r="I150" s="11" t="s">
        <v>1657</v>
      </c>
      <c r="J150" s="11" t="s">
        <v>1658</v>
      </c>
      <c r="K150" s="11" t="s">
        <v>1659</v>
      </c>
      <c r="L150" s="11" t="s">
        <v>1660</v>
      </c>
      <c r="M150" s="11" t="s">
        <v>1661</v>
      </c>
      <c r="N150" s="11" t="s">
        <v>1662</v>
      </c>
      <c r="O150" s="8" t="s">
        <v>1663</v>
      </c>
      <c r="P150" s="8" t="s">
        <v>81</v>
      </c>
      <c r="Q150" s="11"/>
      <c r="R150" s="8" t="s">
        <v>1664</v>
      </c>
      <c r="S150" s="11" t="s">
        <v>1665</v>
      </c>
      <c r="T150" s="8" t="s">
        <v>1666</v>
      </c>
      <c r="U150" s="11" t="s">
        <v>85</v>
      </c>
      <c r="V150" s="8" t="s">
        <v>14</v>
      </c>
      <c r="W150" s="8"/>
      <c r="X150" s="8"/>
      <c r="Y150" s="12"/>
      <c r="Z150" s="8" t="s">
        <v>113</v>
      </c>
      <c r="AA150" s="8"/>
    </row>
    <row r="151" customFormat="false" ht="120" hidden="false" customHeight="true" outlineLevel="0" collapsed="false">
      <c r="A151" s="8" t="n">
        <v>150</v>
      </c>
      <c r="B151" s="9" t="n">
        <v>46376</v>
      </c>
      <c r="C151" s="8" t="str">
        <f aca="false">TEXT(B151,"ddd")</f>
        <v>Sun</v>
      </c>
      <c r="D151" s="8" t="s">
        <v>221</v>
      </c>
      <c r="E151" s="8" t="s">
        <v>188</v>
      </c>
      <c r="F151" s="10" t="s">
        <v>3</v>
      </c>
      <c r="G151" s="8" t="s">
        <v>11</v>
      </c>
      <c r="H151" s="8" t="s">
        <v>1667</v>
      </c>
      <c r="I151" s="11" t="s">
        <v>1668</v>
      </c>
      <c r="J151" s="11" t="s">
        <v>1669</v>
      </c>
      <c r="K151" s="11" t="s">
        <v>1670</v>
      </c>
      <c r="L151" s="11" t="s">
        <v>1671</v>
      </c>
      <c r="M151" s="11" t="s">
        <v>1672</v>
      </c>
      <c r="N151" s="11" t="s">
        <v>1673</v>
      </c>
      <c r="O151" s="8" t="s">
        <v>1072</v>
      </c>
      <c r="P151" s="8" t="s">
        <v>66</v>
      </c>
      <c r="Q151" s="11"/>
      <c r="R151" s="8" t="s">
        <v>1674</v>
      </c>
      <c r="S151" s="11" t="s">
        <v>1675</v>
      </c>
      <c r="T151" s="8" t="s">
        <v>1676</v>
      </c>
      <c r="U151" s="11" t="s">
        <v>70</v>
      </c>
      <c r="V151" s="8" t="s">
        <v>14</v>
      </c>
      <c r="W151" s="8"/>
      <c r="X151" s="8"/>
      <c r="Y151" s="12"/>
      <c r="Z151" s="8" t="s">
        <v>113</v>
      </c>
      <c r="AA151" s="8"/>
    </row>
    <row r="152" customFormat="false" ht="120" hidden="false" customHeight="true" outlineLevel="0" collapsed="false">
      <c r="A152" s="8" t="n">
        <v>151</v>
      </c>
      <c r="B152" s="9" t="n">
        <v>46377</v>
      </c>
      <c r="C152" s="8" t="str">
        <f aca="false">TEXT(B152,"ddd")</f>
        <v>Mon</v>
      </c>
      <c r="D152" s="8" t="s">
        <v>233</v>
      </c>
      <c r="E152" s="8" t="s">
        <v>57</v>
      </c>
      <c r="F152" s="13" t="s">
        <v>4</v>
      </c>
      <c r="G152" s="8" t="s">
        <v>12</v>
      </c>
      <c r="H152" s="8" t="s">
        <v>1677</v>
      </c>
      <c r="I152" s="11" t="s">
        <v>1678</v>
      </c>
      <c r="J152" s="11" t="s">
        <v>1679</v>
      </c>
      <c r="K152" s="11" t="s">
        <v>1680</v>
      </c>
      <c r="L152" s="11" t="s">
        <v>1681</v>
      </c>
      <c r="M152" s="11" t="s">
        <v>1682</v>
      </c>
      <c r="N152" s="11" t="s">
        <v>1683</v>
      </c>
      <c r="O152" s="8" t="s">
        <v>274</v>
      </c>
      <c r="P152" s="8" t="s">
        <v>81</v>
      </c>
      <c r="Q152" s="11"/>
      <c r="R152" s="8" t="s">
        <v>1684</v>
      </c>
      <c r="S152" s="11" t="s">
        <v>1685</v>
      </c>
      <c r="T152" s="8" t="s">
        <v>1686</v>
      </c>
      <c r="U152" s="11" t="s">
        <v>85</v>
      </c>
      <c r="V152" s="8" t="s">
        <v>14</v>
      </c>
      <c r="W152" s="8"/>
      <c r="X152" s="8" t="s">
        <v>1687</v>
      </c>
      <c r="Y152" s="12" t="s">
        <v>1688</v>
      </c>
      <c r="Z152" s="8" t="s">
        <v>88</v>
      </c>
      <c r="AA152" s="8" t="s">
        <v>1689</v>
      </c>
    </row>
    <row r="153" customFormat="false" ht="120" hidden="false" customHeight="true" outlineLevel="0" collapsed="false">
      <c r="A153" s="8" t="n">
        <v>152</v>
      </c>
      <c r="B153" s="9" t="n">
        <v>46377</v>
      </c>
      <c r="C153" s="8" t="str">
        <f aca="false">TEXT(B153,"ddd")</f>
        <v>Mon</v>
      </c>
      <c r="D153" s="8" t="s">
        <v>128</v>
      </c>
      <c r="E153" s="8" t="s">
        <v>129</v>
      </c>
      <c r="F153" s="10" t="s">
        <v>3</v>
      </c>
      <c r="G153" s="8" t="s">
        <v>10</v>
      </c>
      <c r="H153" s="8" t="s">
        <v>1690</v>
      </c>
      <c r="I153" s="11" t="s">
        <v>1691</v>
      </c>
      <c r="J153" s="11" t="s">
        <v>1692</v>
      </c>
      <c r="K153" s="11" t="s">
        <v>1693</v>
      </c>
      <c r="L153" s="11" t="s">
        <v>1694</v>
      </c>
      <c r="M153" s="11" t="s">
        <v>1695</v>
      </c>
      <c r="N153" s="11" t="s">
        <v>1696</v>
      </c>
      <c r="O153" s="8" t="s">
        <v>491</v>
      </c>
      <c r="P153" s="8" t="s">
        <v>66</v>
      </c>
      <c r="Q153" s="11"/>
      <c r="R153" s="8" t="s">
        <v>1697</v>
      </c>
      <c r="S153" s="11" t="s">
        <v>1698</v>
      </c>
      <c r="T153" s="8" t="s">
        <v>1699</v>
      </c>
      <c r="U153" s="11" t="s">
        <v>70</v>
      </c>
      <c r="V153" s="8" t="s">
        <v>14</v>
      </c>
      <c r="W153" s="8"/>
      <c r="X153" s="8"/>
      <c r="Y153" s="12"/>
      <c r="Z153" s="8" t="s">
        <v>113</v>
      </c>
      <c r="AA153" s="8"/>
    </row>
    <row r="154" customFormat="false" ht="120" hidden="false" customHeight="true" outlineLevel="0" collapsed="false">
      <c r="A154" s="8" t="n">
        <v>153</v>
      </c>
      <c r="B154" s="9" t="n">
        <v>46378</v>
      </c>
      <c r="C154" s="8" t="str">
        <f aca="false">TEXT(B154,"ddd")</f>
        <v>Tue</v>
      </c>
      <c r="D154" s="8" t="s">
        <v>255</v>
      </c>
      <c r="E154" s="8" t="s">
        <v>129</v>
      </c>
      <c r="F154" s="13" t="s">
        <v>4</v>
      </c>
      <c r="G154" s="8" t="s">
        <v>10</v>
      </c>
      <c r="H154" s="8" t="s">
        <v>1700</v>
      </c>
      <c r="I154" s="11" t="s">
        <v>1701</v>
      </c>
      <c r="J154" s="11" t="s">
        <v>1702</v>
      </c>
      <c r="K154" s="11" t="s">
        <v>1703</v>
      </c>
      <c r="L154" s="11" t="s">
        <v>1704</v>
      </c>
      <c r="M154" s="11" t="s">
        <v>1705</v>
      </c>
      <c r="N154" s="11" t="s">
        <v>1706</v>
      </c>
      <c r="O154" s="8" t="s">
        <v>80</v>
      </c>
      <c r="P154" s="8" t="s">
        <v>81</v>
      </c>
      <c r="Q154" s="11"/>
      <c r="R154" s="8" t="s">
        <v>1707</v>
      </c>
      <c r="S154" s="11" t="s">
        <v>1708</v>
      </c>
      <c r="T154" s="8" t="s">
        <v>1709</v>
      </c>
      <c r="U154" s="11" t="s">
        <v>85</v>
      </c>
      <c r="V154" s="8" t="s">
        <v>14</v>
      </c>
      <c r="W154" s="8"/>
      <c r="X154" s="8"/>
      <c r="Y154" s="12"/>
      <c r="Z154" s="8" t="s">
        <v>113</v>
      </c>
      <c r="AA154" s="8"/>
    </row>
    <row r="155" customFormat="false" ht="120" hidden="false" customHeight="true" outlineLevel="0" collapsed="false">
      <c r="A155" s="8" t="n">
        <v>154</v>
      </c>
      <c r="B155" s="9" t="n">
        <v>46378</v>
      </c>
      <c r="C155" s="8" t="str">
        <f aca="false">TEXT(B155,"ddd")</f>
        <v>Tue</v>
      </c>
      <c r="D155" s="8" t="s">
        <v>221</v>
      </c>
      <c r="E155" s="8" t="s">
        <v>188</v>
      </c>
      <c r="F155" s="10" t="s">
        <v>3</v>
      </c>
      <c r="G155" s="8" t="s">
        <v>11</v>
      </c>
      <c r="H155" s="8" t="s">
        <v>1710</v>
      </c>
      <c r="I155" s="11" t="s">
        <v>1711</v>
      </c>
      <c r="J155" s="11" t="s">
        <v>1712</v>
      </c>
      <c r="K155" s="11" t="s">
        <v>1713</v>
      </c>
      <c r="L155" s="11" t="s">
        <v>1714</v>
      </c>
      <c r="M155" s="11" t="s">
        <v>1715</v>
      </c>
      <c r="N155" s="11" t="s">
        <v>1716</v>
      </c>
      <c r="O155" s="8" t="s">
        <v>1717</v>
      </c>
      <c r="P155" s="8" t="s">
        <v>66</v>
      </c>
      <c r="Q155" s="11"/>
      <c r="R155" s="8" t="s">
        <v>1718</v>
      </c>
      <c r="S155" s="11" t="s">
        <v>1719</v>
      </c>
      <c r="T155" s="8" t="s">
        <v>1720</v>
      </c>
      <c r="U155" s="11" t="s">
        <v>70</v>
      </c>
      <c r="V155" s="8" t="s">
        <v>14</v>
      </c>
      <c r="W155" s="8"/>
      <c r="X155" s="8"/>
      <c r="Y155" s="12"/>
      <c r="Z155" s="8" t="s">
        <v>113</v>
      </c>
      <c r="AA155" s="8"/>
    </row>
    <row r="156" customFormat="false" ht="120" hidden="false" customHeight="true" outlineLevel="0" collapsed="false">
      <c r="A156" s="8" t="n">
        <v>155</v>
      </c>
      <c r="B156" s="9" t="n">
        <v>46379</v>
      </c>
      <c r="C156" s="8" t="str">
        <f aca="false">TEXT(B156,"ddd")</f>
        <v>Wed</v>
      </c>
      <c r="D156" s="8" t="s">
        <v>56</v>
      </c>
      <c r="E156" s="8" t="s">
        <v>57</v>
      </c>
      <c r="F156" s="13" t="s">
        <v>4</v>
      </c>
      <c r="G156" s="8" t="s">
        <v>9</v>
      </c>
      <c r="H156" s="8" t="s">
        <v>1721</v>
      </c>
      <c r="I156" s="11" t="s">
        <v>1722</v>
      </c>
      <c r="J156" s="11" t="s">
        <v>1723</v>
      </c>
      <c r="K156" s="11" t="s">
        <v>1724</v>
      </c>
      <c r="L156" s="11" t="s">
        <v>1725</v>
      </c>
      <c r="M156" s="11" t="s">
        <v>1726</v>
      </c>
      <c r="N156" s="11" t="s">
        <v>1727</v>
      </c>
      <c r="O156" s="8" t="s">
        <v>1728</v>
      </c>
      <c r="P156" s="8" t="s">
        <v>81</v>
      </c>
      <c r="Q156" s="11"/>
      <c r="R156" s="8" t="s">
        <v>1729</v>
      </c>
      <c r="S156" s="11" t="s">
        <v>1730</v>
      </c>
      <c r="T156" s="8" t="s">
        <v>1731</v>
      </c>
      <c r="U156" s="11" t="s">
        <v>85</v>
      </c>
      <c r="V156" s="8" t="s">
        <v>14</v>
      </c>
      <c r="W156" s="8"/>
      <c r="X156" s="8"/>
      <c r="Y156" s="12"/>
      <c r="Z156" s="8" t="s">
        <v>113</v>
      </c>
      <c r="AA156" s="8"/>
    </row>
    <row r="157" customFormat="false" ht="120" hidden="false" customHeight="true" outlineLevel="0" collapsed="false">
      <c r="A157" s="8" t="n">
        <v>156</v>
      </c>
      <c r="B157" s="9" t="n">
        <v>46379</v>
      </c>
      <c r="C157" s="8" t="str">
        <f aca="false">TEXT(B157,"ddd")</f>
        <v>Wed</v>
      </c>
      <c r="D157" s="8" t="s">
        <v>128</v>
      </c>
      <c r="E157" s="8" t="s">
        <v>129</v>
      </c>
      <c r="F157" s="10" t="s">
        <v>3</v>
      </c>
      <c r="G157" s="8" t="s">
        <v>10</v>
      </c>
      <c r="H157" s="8" t="s">
        <v>1732</v>
      </c>
      <c r="I157" s="11" t="s">
        <v>1733</v>
      </c>
      <c r="J157" s="11" t="s">
        <v>1734</v>
      </c>
      <c r="K157" s="11" t="s">
        <v>1735</v>
      </c>
      <c r="L157" s="11" t="s">
        <v>1736</v>
      </c>
      <c r="M157" s="11" t="s">
        <v>1737</v>
      </c>
      <c r="N157" s="11" t="s">
        <v>1738</v>
      </c>
      <c r="O157" s="8" t="s">
        <v>1739</v>
      </c>
      <c r="P157" s="8" t="s">
        <v>66</v>
      </c>
      <c r="Q157" s="11"/>
      <c r="R157" s="8" t="s">
        <v>1740</v>
      </c>
      <c r="S157" s="11" t="s">
        <v>1741</v>
      </c>
      <c r="T157" s="8" t="s">
        <v>1742</v>
      </c>
      <c r="U157" s="11" t="s">
        <v>70</v>
      </c>
      <c r="V157" s="8" t="s">
        <v>14</v>
      </c>
      <c r="W157" s="8"/>
      <c r="X157" s="8"/>
      <c r="Y157" s="12"/>
      <c r="Z157" s="8" t="s">
        <v>113</v>
      </c>
      <c r="AA157" s="8"/>
    </row>
    <row r="158" customFormat="false" ht="120" hidden="false" customHeight="true" outlineLevel="0" collapsed="false">
      <c r="A158" s="8" t="n">
        <v>157</v>
      </c>
      <c r="B158" s="9" t="n">
        <v>46380</v>
      </c>
      <c r="C158" s="8" t="str">
        <f aca="false">TEXT(B158,"ddd")</f>
        <v>Thu</v>
      </c>
      <c r="D158" s="8" t="s">
        <v>255</v>
      </c>
      <c r="E158" s="8" t="s">
        <v>129</v>
      </c>
      <c r="F158" s="14" t="s">
        <v>5</v>
      </c>
      <c r="G158" s="8" t="s">
        <v>10</v>
      </c>
      <c r="H158" s="8" t="s">
        <v>1570</v>
      </c>
      <c r="I158" s="11" t="s">
        <v>1743</v>
      </c>
      <c r="J158" s="11" t="s">
        <v>1744</v>
      </c>
      <c r="K158" s="11" t="s">
        <v>1745</v>
      </c>
      <c r="L158" s="11" t="s">
        <v>1746</v>
      </c>
      <c r="M158" s="11" t="s">
        <v>1747</v>
      </c>
      <c r="N158" s="11" t="s">
        <v>1748</v>
      </c>
      <c r="O158" s="8" t="s">
        <v>1749</v>
      </c>
      <c r="P158" s="8" t="s">
        <v>122</v>
      </c>
      <c r="Q158" s="11" t="s">
        <v>1750</v>
      </c>
      <c r="R158" s="8" t="s">
        <v>1751</v>
      </c>
      <c r="S158" s="11" t="s">
        <v>1752</v>
      </c>
      <c r="T158" s="8" t="s">
        <v>1753</v>
      </c>
      <c r="U158" s="11" t="s">
        <v>127</v>
      </c>
      <c r="V158" s="8" t="s">
        <v>14</v>
      </c>
      <c r="W158" s="8"/>
      <c r="X158" s="8" t="s">
        <v>1568</v>
      </c>
      <c r="Y158" s="12" t="s">
        <v>1569</v>
      </c>
      <c r="Z158" s="8" t="s">
        <v>150</v>
      </c>
      <c r="AA158" s="8" t="s">
        <v>1558</v>
      </c>
    </row>
    <row r="159" customFormat="false" ht="120" hidden="false" customHeight="true" outlineLevel="0" collapsed="false">
      <c r="A159" s="8" t="n">
        <v>158</v>
      </c>
      <c r="B159" s="9" t="n">
        <v>46380</v>
      </c>
      <c r="C159" s="8" t="str">
        <f aca="false">TEXT(B159,"ddd")</f>
        <v>Thu</v>
      </c>
      <c r="D159" s="8" t="s">
        <v>128</v>
      </c>
      <c r="E159" s="8" t="s">
        <v>129</v>
      </c>
      <c r="F159" s="10" t="s">
        <v>3</v>
      </c>
      <c r="G159" s="8" t="s">
        <v>10</v>
      </c>
      <c r="H159" s="8" t="s">
        <v>1754</v>
      </c>
      <c r="I159" s="11" t="s">
        <v>1755</v>
      </c>
      <c r="J159" s="11" t="s">
        <v>1756</v>
      </c>
      <c r="K159" s="11" t="s">
        <v>1757</v>
      </c>
      <c r="L159" s="11" t="s">
        <v>1758</v>
      </c>
      <c r="M159" s="11" t="s">
        <v>1759</v>
      </c>
      <c r="N159" s="11" t="s">
        <v>1760</v>
      </c>
      <c r="O159" s="8" t="s">
        <v>1761</v>
      </c>
      <c r="P159" s="8" t="s">
        <v>66</v>
      </c>
      <c r="Q159" s="11"/>
      <c r="R159" s="8" t="s">
        <v>1762</v>
      </c>
      <c r="S159" s="11" t="s">
        <v>1763</v>
      </c>
      <c r="T159" s="8" t="s">
        <v>1764</v>
      </c>
      <c r="U159" s="11" t="s">
        <v>70</v>
      </c>
      <c r="V159" s="8" t="s">
        <v>14</v>
      </c>
      <c r="W159" s="8"/>
      <c r="X159" s="8"/>
      <c r="Y159" s="12"/>
      <c r="Z159" s="8" t="s">
        <v>113</v>
      </c>
      <c r="AA159" s="8"/>
    </row>
    <row r="160" customFormat="false" ht="120" hidden="false" customHeight="true" outlineLevel="0" collapsed="false">
      <c r="A160" s="8" t="n">
        <v>159</v>
      </c>
      <c r="B160" s="9" t="n">
        <v>46381</v>
      </c>
      <c r="C160" s="8" t="str">
        <f aca="false">TEXT(B160,"ddd")</f>
        <v>Fri</v>
      </c>
      <c r="D160" s="8" t="s">
        <v>233</v>
      </c>
      <c r="E160" s="8" t="s">
        <v>57</v>
      </c>
      <c r="F160" s="10" t="s">
        <v>3</v>
      </c>
      <c r="G160" s="8" t="s">
        <v>12</v>
      </c>
      <c r="H160" s="8" t="s">
        <v>1765</v>
      </c>
      <c r="I160" s="11" t="s">
        <v>1766</v>
      </c>
      <c r="J160" s="11" t="s">
        <v>1767</v>
      </c>
      <c r="K160" s="11" t="s">
        <v>1768</v>
      </c>
      <c r="L160" s="11" t="s">
        <v>1769</v>
      </c>
      <c r="M160" s="11" t="s">
        <v>1770</v>
      </c>
      <c r="N160" s="11" t="s">
        <v>1771</v>
      </c>
      <c r="O160" s="8" t="s">
        <v>1772</v>
      </c>
      <c r="P160" s="8" t="s">
        <v>66</v>
      </c>
      <c r="Q160" s="11"/>
      <c r="R160" s="8" t="s">
        <v>1773</v>
      </c>
      <c r="S160" s="11" t="s">
        <v>173</v>
      </c>
      <c r="T160" s="8" t="s">
        <v>1774</v>
      </c>
      <c r="U160" s="11" t="s">
        <v>70</v>
      </c>
      <c r="V160" s="8" t="s">
        <v>14</v>
      </c>
      <c r="W160" s="8"/>
      <c r="X160" s="8" t="s">
        <v>1568</v>
      </c>
      <c r="Y160" s="12" t="s">
        <v>1569</v>
      </c>
      <c r="Z160" s="8" t="s">
        <v>175</v>
      </c>
      <c r="AA160" s="8"/>
    </row>
    <row r="161" customFormat="false" ht="120" hidden="false" customHeight="true" outlineLevel="0" collapsed="false">
      <c r="A161" s="8" t="n">
        <v>160</v>
      </c>
      <c r="B161" s="9" t="n">
        <v>46381</v>
      </c>
      <c r="C161" s="8" t="str">
        <f aca="false">TEXT(B161,"ddd")</f>
        <v>Fri</v>
      </c>
      <c r="D161" s="8" t="s">
        <v>101</v>
      </c>
      <c r="E161" s="8" t="s">
        <v>57</v>
      </c>
      <c r="F161" s="14" t="s">
        <v>5</v>
      </c>
      <c r="G161" s="8" t="s">
        <v>12</v>
      </c>
      <c r="H161" s="8" t="s">
        <v>1775</v>
      </c>
      <c r="I161" s="11" t="s">
        <v>1776</v>
      </c>
      <c r="J161" s="11" t="s">
        <v>1777</v>
      </c>
      <c r="K161" s="11" t="s">
        <v>1778</v>
      </c>
      <c r="L161" s="11" t="s">
        <v>1779</v>
      </c>
      <c r="M161" s="11" t="s">
        <v>1780</v>
      </c>
      <c r="N161" s="11" t="s">
        <v>1781</v>
      </c>
      <c r="O161" s="8" t="s">
        <v>1782</v>
      </c>
      <c r="P161" s="8" t="s">
        <v>122</v>
      </c>
      <c r="Q161" s="11" t="s">
        <v>1783</v>
      </c>
      <c r="R161" s="8" t="s">
        <v>1784</v>
      </c>
      <c r="S161" s="11" t="s">
        <v>1785</v>
      </c>
      <c r="T161" s="8" t="s">
        <v>1786</v>
      </c>
      <c r="U161" s="11" t="s">
        <v>127</v>
      </c>
      <c r="V161" s="8" t="s">
        <v>14</v>
      </c>
      <c r="W161" s="8"/>
      <c r="X161" s="8"/>
      <c r="Y161" s="12"/>
      <c r="Z161" s="8" t="s">
        <v>113</v>
      </c>
      <c r="AA161" s="8"/>
    </row>
    <row r="162" customFormat="false" ht="120" hidden="false" customHeight="true" outlineLevel="0" collapsed="false">
      <c r="A162" s="8" t="n">
        <v>161</v>
      </c>
      <c r="B162" s="9" t="n">
        <v>46382</v>
      </c>
      <c r="C162" s="8" t="str">
        <f aca="false">TEXT(B162,"ddd")</f>
        <v>Sat</v>
      </c>
      <c r="D162" s="8" t="s">
        <v>255</v>
      </c>
      <c r="E162" s="8" t="s">
        <v>129</v>
      </c>
      <c r="F162" s="13" t="s">
        <v>4</v>
      </c>
      <c r="G162" s="8" t="s">
        <v>10</v>
      </c>
      <c r="H162" s="8" t="s">
        <v>1787</v>
      </c>
      <c r="I162" s="11" t="s">
        <v>1788</v>
      </c>
      <c r="J162" s="11" t="s">
        <v>1789</v>
      </c>
      <c r="K162" s="11" t="s">
        <v>1790</v>
      </c>
      <c r="L162" s="11" t="s">
        <v>1791</v>
      </c>
      <c r="M162" s="11" t="s">
        <v>1792</v>
      </c>
      <c r="N162" s="11" t="s">
        <v>1793</v>
      </c>
      <c r="O162" s="8" t="s">
        <v>80</v>
      </c>
      <c r="P162" s="8" t="s">
        <v>81</v>
      </c>
      <c r="Q162" s="11"/>
      <c r="R162" s="8" t="s">
        <v>1794</v>
      </c>
      <c r="S162" s="11" t="s">
        <v>1795</v>
      </c>
      <c r="T162" s="8" t="s">
        <v>1796</v>
      </c>
      <c r="U162" s="11" t="s">
        <v>85</v>
      </c>
      <c r="V162" s="8" t="s">
        <v>14</v>
      </c>
      <c r="W162" s="8"/>
      <c r="X162" s="8"/>
      <c r="Y162" s="12"/>
      <c r="Z162" s="8" t="s">
        <v>113</v>
      </c>
      <c r="AA162" s="8"/>
    </row>
    <row r="163" customFormat="false" ht="120" hidden="false" customHeight="true" outlineLevel="0" collapsed="false">
      <c r="A163" s="8" t="n">
        <v>162</v>
      </c>
      <c r="B163" s="9" t="n">
        <v>46382</v>
      </c>
      <c r="C163" s="8" t="str">
        <f aca="false">TEXT(B163,"ddd")</f>
        <v>Sat</v>
      </c>
      <c r="D163" s="8" t="s">
        <v>221</v>
      </c>
      <c r="E163" s="8" t="s">
        <v>188</v>
      </c>
      <c r="F163" s="10" t="s">
        <v>3</v>
      </c>
      <c r="G163" s="8" t="s">
        <v>11</v>
      </c>
      <c r="H163" s="8" t="s">
        <v>1797</v>
      </c>
      <c r="I163" s="11" t="s">
        <v>1798</v>
      </c>
      <c r="J163" s="11" t="s">
        <v>1799</v>
      </c>
      <c r="K163" s="11" t="s">
        <v>1800</v>
      </c>
      <c r="L163" s="11" t="s">
        <v>1801</v>
      </c>
      <c r="M163" s="11" t="s">
        <v>1802</v>
      </c>
      <c r="N163" s="11" t="s">
        <v>1803</v>
      </c>
      <c r="O163" s="8" t="s">
        <v>1804</v>
      </c>
      <c r="P163" s="8" t="s">
        <v>66</v>
      </c>
      <c r="Q163" s="11"/>
      <c r="R163" s="8" t="s">
        <v>1805</v>
      </c>
      <c r="S163" s="11" t="s">
        <v>1806</v>
      </c>
      <c r="T163" s="8" t="s">
        <v>1807</v>
      </c>
      <c r="U163" s="11" t="s">
        <v>70</v>
      </c>
      <c r="V163" s="8" t="s">
        <v>14</v>
      </c>
      <c r="W163" s="8"/>
      <c r="X163" s="8"/>
      <c r="Y163" s="12"/>
      <c r="Z163" s="8" t="s">
        <v>113</v>
      </c>
      <c r="AA163" s="8"/>
    </row>
    <row r="164" customFormat="false" ht="120" hidden="false" customHeight="true" outlineLevel="0" collapsed="false">
      <c r="A164" s="8" t="n">
        <v>163</v>
      </c>
      <c r="B164" s="9" t="n">
        <v>46383</v>
      </c>
      <c r="C164" s="8" t="str">
        <f aca="false">TEXT(B164,"ddd")</f>
        <v>Sun</v>
      </c>
      <c r="D164" s="8" t="s">
        <v>187</v>
      </c>
      <c r="E164" s="8" t="s">
        <v>188</v>
      </c>
      <c r="F164" s="10" t="s">
        <v>3</v>
      </c>
      <c r="G164" s="8" t="s">
        <v>11</v>
      </c>
      <c r="H164" s="8" t="s">
        <v>1808</v>
      </c>
      <c r="I164" s="11" t="s">
        <v>1809</v>
      </c>
      <c r="J164" s="11" t="s">
        <v>1810</v>
      </c>
      <c r="K164" s="11" t="s">
        <v>1811</v>
      </c>
      <c r="L164" s="11" t="s">
        <v>1812</v>
      </c>
      <c r="M164" s="11" t="s">
        <v>1813</v>
      </c>
      <c r="N164" s="11" t="s">
        <v>1814</v>
      </c>
      <c r="O164" s="8" t="s">
        <v>643</v>
      </c>
      <c r="P164" s="8" t="s">
        <v>66</v>
      </c>
      <c r="Q164" s="11"/>
      <c r="R164" s="8" t="s">
        <v>1815</v>
      </c>
      <c r="S164" s="11" t="s">
        <v>1816</v>
      </c>
      <c r="T164" s="8" t="s">
        <v>1817</v>
      </c>
      <c r="U164" s="11" t="s">
        <v>70</v>
      </c>
      <c r="V164" s="8" t="s">
        <v>14</v>
      </c>
      <c r="W164" s="8"/>
      <c r="X164" s="8"/>
      <c r="Y164" s="12"/>
      <c r="Z164" s="8" t="s">
        <v>113</v>
      </c>
      <c r="AA164" s="8"/>
    </row>
    <row r="165" customFormat="false" ht="120" hidden="false" customHeight="true" outlineLevel="0" collapsed="false">
      <c r="A165" s="8" t="n">
        <v>164</v>
      </c>
      <c r="B165" s="9" t="n">
        <v>46383</v>
      </c>
      <c r="C165" s="8" t="str">
        <f aca="false">TEXT(B165,"ddd")</f>
        <v>Sun</v>
      </c>
      <c r="D165" s="8" t="s">
        <v>128</v>
      </c>
      <c r="E165" s="8" t="s">
        <v>129</v>
      </c>
      <c r="F165" s="10" t="s">
        <v>3</v>
      </c>
      <c r="G165" s="8" t="s">
        <v>10</v>
      </c>
      <c r="H165" s="8" t="s">
        <v>1818</v>
      </c>
      <c r="I165" s="11" t="s">
        <v>1819</v>
      </c>
      <c r="J165" s="11" t="s">
        <v>1820</v>
      </c>
      <c r="K165" s="11" t="s">
        <v>1821</v>
      </c>
      <c r="L165" s="11" t="s">
        <v>1822</v>
      </c>
      <c r="M165" s="11" t="s">
        <v>1823</v>
      </c>
      <c r="N165" s="11" t="s">
        <v>1824</v>
      </c>
      <c r="O165" s="8" t="s">
        <v>1372</v>
      </c>
      <c r="P165" s="8" t="s">
        <v>66</v>
      </c>
      <c r="Q165" s="11"/>
      <c r="R165" s="8" t="s">
        <v>1825</v>
      </c>
      <c r="S165" s="11" t="s">
        <v>1826</v>
      </c>
      <c r="T165" s="8" t="s">
        <v>1827</v>
      </c>
      <c r="U165" s="11" t="s">
        <v>70</v>
      </c>
      <c r="V165" s="8" t="s">
        <v>14</v>
      </c>
      <c r="W165" s="8"/>
      <c r="X165" s="8"/>
      <c r="Y165" s="12"/>
      <c r="Z165" s="8" t="s">
        <v>113</v>
      </c>
      <c r="AA165" s="8"/>
    </row>
    <row r="166" customFormat="false" ht="120" hidden="false" customHeight="true" outlineLevel="0" collapsed="false">
      <c r="A166" s="8" t="n">
        <v>165</v>
      </c>
      <c r="B166" s="9" t="n">
        <v>46384</v>
      </c>
      <c r="C166" s="8" t="str">
        <f aca="false">TEXT(B166,"ddd")</f>
        <v>Mon</v>
      </c>
      <c r="D166" s="8" t="s">
        <v>56</v>
      </c>
      <c r="E166" s="8" t="s">
        <v>57</v>
      </c>
      <c r="F166" s="13" t="s">
        <v>4</v>
      </c>
      <c r="G166" s="8" t="s">
        <v>9</v>
      </c>
      <c r="H166" s="8" t="s">
        <v>1828</v>
      </c>
      <c r="I166" s="11" t="s">
        <v>1829</v>
      </c>
      <c r="J166" s="11" t="s">
        <v>1830</v>
      </c>
      <c r="K166" s="11" t="s">
        <v>1831</v>
      </c>
      <c r="L166" s="11" t="s">
        <v>1832</v>
      </c>
      <c r="M166" s="11" t="s">
        <v>1833</v>
      </c>
      <c r="N166" s="11" t="s">
        <v>1834</v>
      </c>
      <c r="O166" s="8" t="s">
        <v>999</v>
      </c>
      <c r="P166" s="8" t="s">
        <v>81</v>
      </c>
      <c r="Q166" s="11"/>
      <c r="R166" s="8" t="s">
        <v>1835</v>
      </c>
      <c r="S166" s="11" t="s">
        <v>1836</v>
      </c>
      <c r="T166" s="8" t="s">
        <v>1837</v>
      </c>
      <c r="U166" s="11" t="s">
        <v>85</v>
      </c>
      <c r="V166" s="8" t="s">
        <v>14</v>
      </c>
      <c r="W166" s="8"/>
      <c r="X166" s="8"/>
      <c r="Y166" s="12"/>
      <c r="Z166" s="8" t="s">
        <v>113</v>
      </c>
      <c r="AA166" s="8"/>
    </row>
    <row r="167" customFormat="false" ht="120" hidden="false" customHeight="true" outlineLevel="0" collapsed="false">
      <c r="A167" s="8" t="n">
        <v>166</v>
      </c>
      <c r="B167" s="9" t="n">
        <v>46384</v>
      </c>
      <c r="C167" s="8" t="str">
        <f aca="false">TEXT(B167,"ddd")</f>
        <v>Mon</v>
      </c>
      <c r="D167" s="8" t="s">
        <v>128</v>
      </c>
      <c r="E167" s="8" t="s">
        <v>129</v>
      </c>
      <c r="F167" s="10" t="s">
        <v>3</v>
      </c>
      <c r="G167" s="8" t="s">
        <v>10</v>
      </c>
      <c r="H167" s="8" t="s">
        <v>1838</v>
      </c>
      <c r="I167" s="11" t="s">
        <v>1839</v>
      </c>
      <c r="J167" s="11" t="s">
        <v>1840</v>
      </c>
      <c r="K167" s="11" t="s">
        <v>1841</v>
      </c>
      <c r="L167" s="11" t="s">
        <v>1842</v>
      </c>
      <c r="M167" s="11" t="s">
        <v>1843</v>
      </c>
      <c r="N167" s="11" t="s">
        <v>1844</v>
      </c>
      <c r="O167" s="8" t="s">
        <v>80</v>
      </c>
      <c r="P167" s="8" t="s">
        <v>66</v>
      </c>
      <c r="Q167" s="11"/>
      <c r="R167" s="8" t="s">
        <v>1845</v>
      </c>
      <c r="S167" s="11" t="s">
        <v>1846</v>
      </c>
      <c r="T167" s="8" t="s">
        <v>1847</v>
      </c>
      <c r="U167" s="11" t="s">
        <v>70</v>
      </c>
      <c r="V167" s="8" t="s">
        <v>14</v>
      </c>
      <c r="W167" s="8"/>
      <c r="X167" s="8"/>
      <c r="Y167" s="12"/>
      <c r="Z167" s="8" t="s">
        <v>113</v>
      </c>
      <c r="AA167" s="8"/>
    </row>
    <row r="168" customFormat="false" ht="120" hidden="false" customHeight="true" outlineLevel="0" collapsed="false">
      <c r="A168" s="8" t="n">
        <v>167</v>
      </c>
      <c r="B168" s="9" t="n">
        <v>46385</v>
      </c>
      <c r="C168" s="8" t="str">
        <f aca="false">TEXT(B168,"ddd")</f>
        <v>Tue</v>
      </c>
      <c r="D168" s="8" t="s">
        <v>255</v>
      </c>
      <c r="E168" s="8" t="s">
        <v>129</v>
      </c>
      <c r="F168" s="13" t="s">
        <v>4</v>
      </c>
      <c r="G168" s="8" t="s">
        <v>10</v>
      </c>
      <c r="H168" s="8" t="s">
        <v>1848</v>
      </c>
      <c r="I168" s="11" t="s">
        <v>1849</v>
      </c>
      <c r="J168" s="11" t="s">
        <v>1850</v>
      </c>
      <c r="K168" s="11" t="s">
        <v>1851</v>
      </c>
      <c r="L168" s="11" t="s">
        <v>1852</v>
      </c>
      <c r="M168" s="11" t="s">
        <v>1853</v>
      </c>
      <c r="N168" s="11" t="s">
        <v>1854</v>
      </c>
      <c r="O168" s="8" t="s">
        <v>1855</v>
      </c>
      <c r="P168" s="8" t="s">
        <v>81</v>
      </c>
      <c r="Q168" s="11"/>
      <c r="R168" s="8" t="s">
        <v>1856</v>
      </c>
      <c r="S168" s="11" t="s">
        <v>1857</v>
      </c>
      <c r="T168" s="8" t="s">
        <v>1858</v>
      </c>
      <c r="U168" s="11" t="s">
        <v>85</v>
      </c>
      <c r="V168" s="8" t="s">
        <v>14</v>
      </c>
      <c r="W168" s="8"/>
      <c r="X168" s="8"/>
      <c r="Y168" s="12"/>
      <c r="Z168" s="8" t="s">
        <v>113</v>
      </c>
      <c r="AA168" s="8"/>
    </row>
    <row r="169" customFormat="false" ht="120" hidden="false" customHeight="true" outlineLevel="0" collapsed="false">
      <c r="A169" s="8" t="n">
        <v>168</v>
      </c>
      <c r="B169" s="9" t="n">
        <v>46385</v>
      </c>
      <c r="C169" s="8" t="str">
        <f aca="false">TEXT(B169,"ddd")</f>
        <v>Tue</v>
      </c>
      <c r="D169" s="8" t="s">
        <v>221</v>
      </c>
      <c r="E169" s="8" t="s">
        <v>188</v>
      </c>
      <c r="F169" s="10" t="s">
        <v>3</v>
      </c>
      <c r="G169" s="8" t="s">
        <v>11</v>
      </c>
      <c r="H169" s="8" t="s">
        <v>1859</v>
      </c>
      <c r="I169" s="11" t="s">
        <v>1860</v>
      </c>
      <c r="J169" s="11" t="s">
        <v>1861</v>
      </c>
      <c r="K169" s="11" t="s">
        <v>1862</v>
      </c>
      <c r="L169" s="11" t="s">
        <v>1863</v>
      </c>
      <c r="M169" s="11" t="s">
        <v>1864</v>
      </c>
      <c r="N169" s="11" t="s">
        <v>1865</v>
      </c>
      <c r="O169" s="8" t="s">
        <v>1866</v>
      </c>
      <c r="P169" s="8" t="s">
        <v>66</v>
      </c>
      <c r="Q169" s="11"/>
      <c r="R169" s="8" t="s">
        <v>1867</v>
      </c>
      <c r="S169" s="11" t="s">
        <v>1868</v>
      </c>
      <c r="T169" s="8" t="s">
        <v>1869</v>
      </c>
      <c r="U169" s="11" t="s">
        <v>70</v>
      </c>
      <c r="V169" s="8" t="s">
        <v>14</v>
      </c>
      <c r="W169" s="8"/>
      <c r="X169" s="8"/>
      <c r="Y169" s="12"/>
      <c r="Z169" s="8" t="s">
        <v>113</v>
      </c>
      <c r="AA169" s="8"/>
    </row>
    <row r="170" customFormat="false" ht="120" hidden="false" customHeight="true" outlineLevel="0" collapsed="false">
      <c r="A170" s="8" t="n">
        <v>169</v>
      </c>
      <c r="B170" s="9" t="n">
        <v>46386</v>
      </c>
      <c r="C170" s="8" t="str">
        <f aca="false">TEXT(B170,"ddd")</f>
        <v>Wed</v>
      </c>
      <c r="D170" s="8" t="s">
        <v>56</v>
      </c>
      <c r="E170" s="8" t="s">
        <v>57</v>
      </c>
      <c r="F170" s="14" t="s">
        <v>5</v>
      </c>
      <c r="G170" s="8" t="s">
        <v>9</v>
      </c>
      <c r="H170" s="8" t="s">
        <v>1870</v>
      </c>
      <c r="I170" s="11" t="s">
        <v>1871</v>
      </c>
      <c r="J170" s="11" t="s">
        <v>1872</v>
      </c>
      <c r="K170" s="11" t="s">
        <v>1873</v>
      </c>
      <c r="L170" s="11" t="s">
        <v>1874</v>
      </c>
      <c r="M170" s="11" t="s">
        <v>1875</v>
      </c>
      <c r="N170" s="11" t="s">
        <v>1876</v>
      </c>
      <c r="O170" s="8" t="s">
        <v>274</v>
      </c>
      <c r="P170" s="8" t="s">
        <v>122</v>
      </c>
      <c r="Q170" s="11" t="s">
        <v>1877</v>
      </c>
      <c r="R170" s="8" t="s">
        <v>1878</v>
      </c>
      <c r="S170" s="11" t="s">
        <v>1879</v>
      </c>
      <c r="T170" s="8" t="s">
        <v>1880</v>
      </c>
      <c r="U170" s="11" t="s">
        <v>127</v>
      </c>
      <c r="V170" s="8" t="s">
        <v>14</v>
      </c>
      <c r="W170" s="8"/>
      <c r="X170" s="8"/>
      <c r="Y170" s="12"/>
      <c r="Z170" s="8" t="s">
        <v>113</v>
      </c>
      <c r="AA170" s="8"/>
    </row>
    <row r="171" customFormat="false" ht="120" hidden="false" customHeight="true" outlineLevel="0" collapsed="false">
      <c r="A171" s="8" t="n">
        <v>170</v>
      </c>
      <c r="B171" s="9" t="n">
        <v>46386</v>
      </c>
      <c r="C171" s="8" t="str">
        <f aca="false">TEXT(B171,"ddd")</f>
        <v>Wed</v>
      </c>
      <c r="D171" s="8" t="s">
        <v>101</v>
      </c>
      <c r="E171" s="8" t="s">
        <v>57</v>
      </c>
      <c r="F171" s="14" t="s">
        <v>5</v>
      </c>
      <c r="G171" s="8" t="s">
        <v>12</v>
      </c>
      <c r="H171" s="8" t="s">
        <v>1689</v>
      </c>
      <c r="I171" s="11" t="s">
        <v>1881</v>
      </c>
      <c r="J171" s="11" t="s">
        <v>1882</v>
      </c>
      <c r="K171" s="11" t="s">
        <v>1883</v>
      </c>
      <c r="L171" s="11" t="s">
        <v>1884</v>
      </c>
      <c r="M171" s="11" t="s">
        <v>1885</v>
      </c>
      <c r="N171" s="11" t="s">
        <v>1886</v>
      </c>
      <c r="O171" s="8" t="s">
        <v>1887</v>
      </c>
      <c r="P171" s="8" t="s">
        <v>122</v>
      </c>
      <c r="Q171" s="11" t="s">
        <v>1888</v>
      </c>
      <c r="R171" s="8" t="s">
        <v>1684</v>
      </c>
      <c r="S171" s="11" t="s">
        <v>1685</v>
      </c>
      <c r="T171" s="8" t="s">
        <v>1889</v>
      </c>
      <c r="U171" s="11" t="s">
        <v>127</v>
      </c>
      <c r="V171" s="8" t="s">
        <v>14</v>
      </c>
      <c r="W171" s="8"/>
      <c r="X171" s="8" t="s">
        <v>1687</v>
      </c>
      <c r="Y171" s="12" t="s">
        <v>1688</v>
      </c>
      <c r="Z171" s="8" t="s">
        <v>150</v>
      </c>
      <c r="AA171" s="8" t="s">
        <v>1677</v>
      </c>
    </row>
    <row r="172" customFormat="false" ht="120" hidden="false" customHeight="true" outlineLevel="0" collapsed="false">
      <c r="A172" s="8" t="n">
        <v>171</v>
      </c>
      <c r="B172" s="9" t="n">
        <v>46387</v>
      </c>
      <c r="C172" s="8" t="str">
        <f aca="false">TEXT(B172,"ddd")</f>
        <v>Thu</v>
      </c>
      <c r="D172" s="8" t="s">
        <v>233</v>
      </c>
      <c r="E172" s="8" t="s">
        <v>57</v>
      </c>
      <c r="F172" s="10" t="s">
        <v>3</v>
      </c>
      <c r="G172" s="8" t="s">
        <v>12</v>
      </c>
      <c r="H172" s="8" t="s">
        <v>1890</v>
      </c>
      <c r="I172" s="11" t="s">
        <v>1891</v>
      </c>
      <c r="J172" s="11" t="s">
        <v>1892</v>
      </c>
      <c r="K172" s="11" t="s">
        <v>1893</v>
      </c>
      <c r="L172" s="11" t="s">
        <v>1894</v>
      </c>
      <c r="M172" s="11" t="s">
        <v>1895</v>
      </c>
      <c r="N172" s="11" t="s">
        <v>1896</v>
      </c>
      <c r="O172" s="8" t="s">
        <v>1897</v>
      </c>
      <c r="P172" s="8" t="s">
        <v>66</v>
      </c>
      <c r="Q172" s="11"/>
      <c r="R172" s="8" t="s">
        <v>1898</v>
      </c>
      <c r="S172" s="11" t="s">
        <v>173</v>
      </c>
      <c r="T172" s="8" t="s">
        <v>1899</v>
      </c>
      <c r="U172" s="11" t="s">
        <v>70</v>
      </c>
      <c r="V172" s="8" t="s">
        <v>14</v>
      </c>
      <c r="W172" s="8"/>
      <c r="X172" s="8" t="s">
        <v>1687</v>
      </c>
      <c r="Y172" s="12" t="s">
        <v>1688</v>
      </c>
      <c r="Z172" s="8" t="s">
        <v>175</v>
      </c>
      <c r="AA172" s="8"/>
    </row>
    <row r="173" customFormat="false" ht="120" hidden="false" customHeight="true" outlineLevel="0" collapsed="false">
      <c r="A173" s="8" t="n">
        <v>172</v>
      </c>
      <c r="B173" s="9" t="n">
        <v>46387</v>
      </c>
      <c r="C173" s="8" t="str">
        <f aca="false">TEXT(B173,"ddd")</f>
        <v>Thu</v>
      </c>
      <c r="D173" s="8" t="s">
        <v>128</v>
      </c>
      <c r="E173" s="8" t="s">
        <v>129</v>
      </c>
      <c r="F173" s="10" t="s">
        <v>3</v>
      </c>
      <c r="G173" s="8" t="s">
        <v>10</v>
      </c>
      <c r="H173" s="8" t="s">
        <v>1900</v>
      </c>
      <c r="I173" s="11" t="s">
        <v>1901</v>
      </c>
      <c r="J173" s="11" t="s">
        <v>1901</v>
      </c>
      <c r="K173" s="11" t="s">
        <v>1902</v>
      </c>
      <c r="L173" s="11" t="s">
        <v>1903</v>
      </c>
      <c r="M173" s="11" t="s">
        <v>1904</v>
      </c>
      <c r="N173" s="11" t="s">
        <v>1905</v>
      </c>
      <c r="O173" s="8" t="s">
        <v>1906</v>
      </c>
      <c r="P173" s="8" t="s">
        <v>66</v>
      </c>
      <c r="Q173" s="11"/>
      <c r="R173" s="8" t="s">
        <v>1907</v>
      </c>
      <c r="S173" s="11" t="s">
        <v>1868</v>
      </c>
      <c r="T173" s="8" t="s">
        <v>1908</v>
      </c>
      <c r="U173" s="11" t="s">
        <v>70</v>
      </c>
      <c r="V173" s="8" t="s">
        <v>14</v>
      </c>
      <c r="W173" s="8"/>
      <c r="X173" s="8"/>
      <c r="Y173" s="12"/>
      <c r="Z173" s="8" t="s">
        <v>113</v>
      </c>
      <c r="AA173" s="8"/>
    </row>
    <row r="174" customFormat="false" ht="120" hidden="false" customHeight="true" outlineLevel="0" collapsed="false">
      <c r="A174" s="8" t="n">
        <v>173</v>
      </c>
      <c r="B174" s="9" t="n">
        <v>46388</v>
      </c>
      <c r="C174" s="8" t="str">
        <f aca="false">TEXT(B174,"ddd")</f>
        <v>Fri</v>
      </c>
      <c r="D174" s="8" t="s">
        <v>56</v>
      </c>
      <c r="E174" s="8" t="s">
        <v>57</v>
      </c>
      <c r="F174" s="13" t="s">
        <v>4</v>
      </c>
      <c r="G174" s="8" t="s">
        <v>9</v>
      </c>
      <c r="H174" s="8" t="s">
        <v>1909</v>
      </c>
      <c r="I174" s="11" t="s">
        <v>1910</v>
      </c>
      <c r="J174" s="11" t="s">
        <v>1911</v>
      </c>
      <c r="K174" s="11" t="s">
        <v>1912</v>
      </c>
      <c r="L174" s="11" t="s">
        <v>1913</v>
      </c>
      <c r="M174" s="11" t="s">
        <v>1914</v>
      </c>
      <c r="N174" s="11" t="s">
        <v>1915</v>
      </c>
      <c r="O174" s="8" t="s">
        <v>1916</v>
      </c>
      <c r="P174" s="8" t="s">
        <v>81</v>
      </c>
      <c r="Q174" s="11"/>
      <c r="R174" s="8" t="s">
        <v>1917</v>
      </c>
      <c r="S174" s="11" t="s">
        <v>1918</v>
      </c>
      <c r="T174" s="8" t="s">
        <v>1919</v>
      </c>
      <c r="U174" s="11" t="s">
        <v>85</v>
      </c>
      <c r="V174" s="8" t="s">
        <v>14</v>
      </c>
      <c r="W174" s="8"/>
      <c r="X174" s="8"/>
      <c r="Y174" s="12"/>
      <c r="Z174" s="8" t="s">
        <v>113</v>
      </c>
      <c r="AA174" s="8"/>
    </row>
    <row r="175" customFormat="false" ht="120" hidden="false" customHeight="true" outlineLevel="0" collapsed="false">
      <c r="A175" s="8" t="n">
        <v>174</v>
      </c>
      <c r="B175" s="9" t="n">
        <v>46388</v>
      </c>
      <c r="C175" s="8" t="str">
        <f aca="false">TEXT(B175,"ddd")</f>
        <v>Fri</v>
      </c>
      <c r="D175" s="8" t="s">
        <v>101</v>
      </c>
      <c r="E175" s="8" t="s">
        <v>57</v>
      </c>
      <c r="F175" s="10" t="s">
        <v>3</v>
      </c>
      <c r="G175" s="8" t="s">
        <v>12</v>
      </c>
      <c r="H175" s="8" t="s">
        <v>1920</v>
      </c>
      <c r="I175" s="11" t="s">
        <v>1921</v>
      </c>
      <c r="J175" s="11" t="s">
        <v>1922</v>
      </c>
      <c r="K175" s="11" t="s">
        <v>1923</v>
      </c>
      <c r="L175" s="11" t="s">
        <v>1924</v>
      </c>
      <c r="M175" s="11" t="s">
        <v>1925</v>
      </c>
      <c r="N175" s="11" t="s">
        <v>1926</v>
      </c>
      <c r="O175" s="8" t="s">
        <v>1927</v>
      </c>
      <c r="P175" s="8" t="s">
        <v>66</v>
      </c>
      <c r="Q175" s="11"/>
      <c r="R175" s="8" t="s">
        <v>1928</v>
      </c>
      <c r="S175" s="11" t="s">
        <v>1929</v>
      </c>
      <c r="T175" s="8" t="s">
        <v>1930</v>
      </c>
      <c r="U175" s="11" t="s">
        <v>70</v>
      </c>
      <c r="V175" s="8" t="s">
        <v>14</v>
      </c>
      <c r="W175" s="8"/>
      <c r="X175" s="8"/>
      <c r="Y175" s="12"/>
      <c r="Z175" s="8" t="s">
        <v>113</v>
      </c>
      <c r="AA175" s="8"/>
    </row>
    <row r="176" customFormat="false" ht="120" hidden="false" customHeight="true" outlineLevel="0" collapsed="false">
      <c r="A176" s="8" t="n">
        <v>175</v>
      </c>
      <c r="B176" s="9" t="n">
        <v>46389</v>
      </c>
      <c r="C176" s="8" t="str">
        <f aca="false">TEXT(B176,"ddd")</f>
        <v>Sat</v>
      </c>
      <c r="D176" s="8" t="s">
        <v>255</v>
      </c>
      <c r="E176" s="8" t="s">
        <v>129</v>
      </c>
      <c r="F176" s="13" t="s">
        <v>4</v>
      </c>
      <c r="G176" s="8" t="s">
        <v>10</v>
      </c>
      <c r="H176" s="8" t="s">
        <v>1931</v>
      </c>
      <c r="I176" s="11" t="s">
        <v>1932</v>
      </c>
      <c r="J176" s="11" t="s">
        <v>1933</v>
      </c>
      <c r="K176" s="11" t="s">
        <v>1934</v>
      </c>
      <c r="L176" s="11" t="s">
        <v>1935</v>
      </c>
      <c r="M176" s="11" t="s">
        <v>1936</v>
      </c>
      <c r="N176" s="11" t="s">
        <v>1937</v>
      </c>
      <c r="O176" s="8" t="s">
        <v>1938</v>
      </c>
      <c r="P176" s="8" t="s">
        <v>81</v>
      </c>
      <c r="Q176" s="11"/>
      <c r="R176" s="8" t="s">
        <v>1939</v>
      </c>
      <c r="S176" s="11" t="s">
        <v>1940</v>
      </c>
      <c r="T176" s="8" t="s">
        <v>1941</v>
      </c>
      <c r="U176" s="11" t="s">
        <v>85</v>
      </c>
      <c r="V176" s="8" t="s">
        <v>14</v>
      </c>
      <c r="W176" s="8"/>
      <c r="X176" s="8"/>
      <c r="Y176" s="12"/>
      <c r="Z176" s="8" t="s">
        <v>113</v>
      </c>
      <c r="AA176" s="8"/>
    </row>
    <row r="177" customFormat="false" ht="120" hidden="false" customHeight="true" outlineLevel="0" collapsed="false">
      <c r="A177" s="8" t="n">
        <v>176</v>
      </c>
      <c r="B177" s="9" t="n">
        <v>46389</v>
      </c>
      <c r="C177" s="8" t="str">
        <f aca="false">TEXT(B177,"ddd")</f>
        <v>Sat</v>
      </c>
      <c r="D177" s="8" t="s">
        <v>221</v>
      </c>
      <c r="E177" s="8" t="s">
        <v>188</v>
      </c>
      <c r="F177" s="10" t="s">
        <v>3</v>
      </c>
      <c r="G177" s="8" t="s">
        <v>11</v>
      </c>
      <c r="H177" s="8" t="s">
        <v>1942</v>
      </c>
      <c r="I177" s="11" t="s">
        <v>1943</v>
      </c>
      <c r="J177" s="11" t="s">
        <v>1944</v>
      </c>
      <c r="K177" s="11" t="s">
        <v>1945</v>
      </c>
      <c r="L177" s="11" t="s">
        <v>1946</v>
      </c>
      <c r="M177" s="11" t="s">
        <v>1947</v>
      </c>
      <c r="N177" s="11" t="s">
        <v>1948</v>
      </c>
      <c r="O177" s="8" t="s">
        <v>1949</v>
      </c>
      <c r="P177" s="8" t="s">
        <v>66</v>
      </c>
      <c r="Q177" s="11"/>
      <c r="R177" s="8" t="s">
        <v>1950</v>
      </c>
      <c r="S177" s="11" t="s">
        <v>1951</v>
      </c>
      <c r="T177" s="8" t="s">
        <v>1952</v>
      </c>
      <c r="U177" s="11" t="s">
        <v>70</v>
      </c>
      <c r="V177" s="8" t="s">
        <v>14</v>
      </c>
      <c r="W177" s="8"/>
      <c r="X177" s="8"/>
      <c r="Y177" s="12"/>
      <c r="Z177" s="8" t="s">
        <v>113</v>
      </c>
      <c r="AA177" s="8"/>
    </row>
    <row r="178" customFormat="false" ht="120" hidden="false" customHeight="true" outlineLevel="0" collapsed="false">
      <c r="A178" s="8" t="n">
        <v>177</v>
      </c>
      <c r="B178" s="9" t="n">
        <v>46390</v>
      </c>
      <c r="C178" s="8" t="str">
        <f aca="false">TEXT(B178,"ddd")</f>
        <v>Sun</v>
      </c>
      <c r="D178" s="8" t="s">
        <v>56</v>
      </c>
      <c r="E178" s="8" t="s">
        <v>57</v>
      </c>
      <c r="F178" s="13" t="s">
        <v>4</v>
      </c>
      <c r="G178" s="8" t="s">
        <v>9</v>
      </c>
      <c r="H178" s="8" t="s">
        <v>1953</v>
      </c>
      <c r="I178" s="11" t="s">
        <v>1954</v>
      </c>
      <c r="J178" s="11" t="s">
        <v>1955</v>
      </c>
      <c r="K178" s="11" t="s">
        <v>1956</v>
      </c>
      <c r="L178" s="11" t="s">
        <v>1957</v>
      </c>
      <c r="M178" s="11" t="s">
        <v>1958</v>
      </c>
      <c r="N178" s="11" t="s">
        <v>1959</v>
      </c>
      <c r="O178" s="8" t="s">
        <v>1960</v>
      </c>
      <c r="P178" s="8" t="s">
        <v>81</v>
      </c>
      <c r="Q178" s="11"/>
      <c r="R178" s="8" t="s">
        <v>1961</v>
      </c>
      <c r="S178" s="11" t="s">
        <v>1962</v>
      </c>
      <c r="T178" s="8" t="s">
        <v>1963</v>
      </c>
      <c r="U178" s="11" t="s">
        <v>85</v>
      </c>
      <c r="V178" s="8" t="s">
        <v>14</v>
      </c>
      <c r="W178" s="8"/>
      <c r="X178" s="8" t="s">
        <v>1964</v>
      </c>
      <c r="Y178" s="12" t="s">
        <v>1965</v>
      </c>
      <c r="Z178" s="8" t="s">
        <v>88</v>
      </c>
      <c r="AA178" s="8" t="s">
        <v>1966</v>
      </c>
    </row>
    <row r="179" customFormat="false" ht="120" hidden="false" customHeight="true" outlineLevel="0" collapsed="false">
      <c r="A179" s="8" t="n">
        <v>178</v>
      </c>
      <c r="B179" s="9" t="n">
        <v>46390</v>
      </c>
      <c r="C179" s="8" t="str">
        <f aca="false">TEXT(B179,"ddd")</f>
        <v>Sun</v>
      </c>
      <c r="D179" s="8" t="s">
        <v>128</v>
      </c>
      <c r="E179" s="8" t="s">
        <v>129</v>
      </c>
      <c r="F179" s="10" t="s">
        <v>3</v>
      </c>
      <c r="G179" s="8" t="s">
        <v>10</v>
      </c>
      <c r="H179" s="8" t="s">
        <v>1967</v>
      </c>
      <c r="I179" s="11" t="s">
        <v>1968</v>
      </c>
      <c r="J179" s="11" t="s">
        <v>1969</v>
      </c>
      <c r="K179" s="11" t="s">
        <v>1970</v>
      </c>
      <c r="L179" s="11" t="s">
        <v>1971</v>
      </c>
      <c r="M179" s="11" t="s">
        <v>1972</v>
      </c>
      <c r="N179" s="11" t="s">
        <v>1973</v>
      </c>
      <c r="O179" s="8" t="s">
        <v>491</v>
      </c>
      <c r="P179" s="8" t="s">
        <v>66</v>
      </c>
      <c r="Q179" s="11"/>
      <c r="R179" s="8" t="s">
        <v>1974</v>
      </c>
      <c r="S179" s="11" t="s">
        <v>1975</v>
      </c>
      <c r="T179" s="8" t="s">
        <v>1976</v>
      </c>
      <c r="U179" s="11" t="s">
        <v>70</v>
      </c>
      <c r="V179" s="8" t="s">
        <v>14</v>
      </c>
      <c r="W179" s="8"/>
      <c r="X179" s="8"/>
      <c r="Y179" s="12"/>
      <c r="Z179" s="8" t="s">
        <v>113</v>
      </c>
      <c r="AA179" s="8"/>
    </row>
    <row r="180" customFormat="false" ht="120" hidden="false" customHeight="true" outlineLevel="0" collapsed="false">
      <c r="A180" s="8" t="n">
        <v>179</v>
      </c>
      <c r="B180" s="9" t="n">
        <v>46391</v>
      </c>
      <c r="C180" s="8" t="str">
        <f aca="false">TEXT(B180,"ddd")</f>
        <v>Mon</v>
      </c>
      <c r="D180" s="8" t="s">
        <v>56</v>
      </c>
      <c r="E180" s="8" t="s">
        <v>57</v>
      </c>
      <c r="F180" s="13" t="s">
        <v>4</v>
      </c>
      <c r="G180" s="8" t="s">
        <v>9</v>
      </c>
      <c r="H180" s="8" t="s">
        <v>1977</v>
      </c>
      <c r="I180" s="11" t="s">
        <v>1978</v>
      </c>
      <c r="J180" s="11" t="s">
        <v>1979</v>
      </c>
      <c r="K180" s="11" t="s">
        <v>1980</v>
      </c>
      <c r="L180" s="11" t="s">
        <v>1981</v>
      </c>
      <c r="M180" s="11" t="s">
        <v>1982</v>
      </c>
      <c r="N180" s="11" t="s">
        <v>1983</v>
      </c>
      <c r="O180" s="8" t="s">
        <v>274</v>
      </c>
      <c r="P180" s="8" t="s">
        <v>81</v>
      </c>
      <c r="Q180" s="11"/>
      <c r="R180" s="8" t="s">
        <v>1984</v>
      </c>
      <c r="S180" s="11" t="s">
        <v>83</v>
      </c>
      <c r="T180" s="8" t="s">
        <v>1985</v>
      </c>
      <c r="U180" s="11" t="s">
        <v>85</v>
      </c>
      <c r="V180" s="8" t="s">
        <v>14</v>
      </c>
      <c r="W180" s="8"/>
      <c r="X180" s="8" t="s">
        <v>1986</v>
      </c>
      <c r="Y180" s="12" t="s">
        <v>1987</v>
      </c>
      <c r="Z180" s="8" t="s">
        <v>88</v>
      </c>
      <c r="AA180" s="8" t="s">
        <v>1988</v>
      </c>
    </row>
    <row r="181" customFormat="false" ht="120" hidden="false" customHeight="true" outlineLevel="0" collapsed="false">
      <c r="A181" s="8" t="n">
        <v>180</v>
      </c>
      <c r="B181" s="9" t="n">
        <v>46391</v>
      </c>
      <c r="C181" s="8" t="str">
        <f aca="false">TEXT(B181,"ddd")</f>
        <v>Mon</v>
      </c>
      <c r="D181" s="8" t="s">
        <v>221</v>
      </c>
      <c r="E181" s="8" t="s">
        <v>188</v>
      </c>
      <c r="F181" s="10" t="s">
        <v>3</v>
      </c>
      <c r="G181" s="8" t="s">
        <v>11</v>
      </c>
      <c r="H181" s="8" t="s">
        <v>1989</v>
      </c>
      <c r="I181" s="11" t="s">
        <v>1990</v>
      </c>
      <c r="J181" s="11" t="s">
        <v>1991</v>
      </c>
      <c r="K181" s="11" t="s">
        <v>1992</v>
      </c>
      <c r="L181" s="11" t="s">
        <v>1993</v>
      </c>
      <c r="M181" s="11" t="s">
        <v>1994</v>
      </c>
      <c r="N181" s="11" t="s">
        <v>1995</v>
      </c>
      <c r="O181" s="8" t="s">
        <v>1996</v>
      </c>
      <c r="P181" s="8" t="s">
        <v>66</v>
      </c>
      <c r="Q181" s="11"/>
      <c r="R181" s="8" t="s">
        <v>1997</v>
      </c>
      <c r="S181" s="11" t="s">
        <v>1998</v>
      </c>
      <c r="T181" s="8" t="s">
        <v>1999</v>
      </c>
      <c r="U181" s="11" t="s">
        <v>70</v>
      </c>
      <c r="V181" s="8" t="s">
        <v>14</v>
      </c>
      <c r="W181" s="8"/>
      <c r="X181" s="8"/>
      <c r="Y181" s="12"/>
      <c r="Z181" s="8" t="s">
        <v>113</v>
      </c>
      <c r="AA181" s="8"/>
    </row>
    <row r="182" customFormat="false" ht="120" hidden="false" customHeight="true" outlineLevel="0" collapsed="false">
      <c r="A182" s="8" t="n">
        <v>181</v>
      </c>
      <c r="B182" s="9" t="n">
        <v>46392</v>
      </c>
      <c r="C182" s="8" t="str">
        <f aca="false">TEXT(B182,"ddd")</f>
        <v>Tue</v>
      </c>
      <c r="D182" s="8" t="s">
        <v>56</v>
      </c>
      <c r="E182" s="8" t="s">
        <v>57</v>
      </c>
      <c r="F182" s="13" t="s">
        <v>4</v>
      </c>
      <c r="G182" s="8" t="s">
        <v>9</v>
      </c>
      <c r="H182" s="8" t="s">
        <v>2000</v>
      </c>
      <c r="I182" s="11" t="s">
        <v>2001</v>
      </c>
      <c r="J182" s="11" t="s">
        <v>2002</v>
      </c>
      <c r="K182" s="11" t="s">
        <v>2003</v>
      </c>
      <c r="L182" s="11" t="s">
        <v>2004</v>
      </c>
      <c r="M182" s="11" t="s">
        <v>2005</v>
      </c>
      <c r="N182" s="11" t="s">
        <v>2006</v>
      </c>
      <c r="O182" s="8" t="s">
        <v>2007</v>
      </c>
      <c r="P182" s="8" t="s">
        <v>81</v>
      </c>
      <c r="Q182" s="11"/>
      <c r="R182" s="8" t="s">
        <v>2008</v>
      </c>
      <c r="S182" s="11" t="s">
        <v>2009</v>
      </c>
      <c r="T182" s="8" t="s">
        <v>2010</v>
      </c>
      <c r="U182" s="11" t="s">
        <v>85</v>
      </c>
      <c r="V182" s="8" t="s">
        <v>14</v>
      </c>
      <c r="W182" s="8"/>
      <c r="X182" s="8"/>
      <c r="Y182" s="12"/>
      <c r="Z182" s="8" t="s">
        <v>113</v>
      </c>
      <c r="AA182" s="8"/>
    </row>
    <row r="183" customFormat="false" ht="120" hidden="false" customHeight="true" outlineLevel="0" collapsed="false">
      <c r="A183" s="8" t="n">
        <v>182</v>
      </c>
      <c r="B183" s="9" t="n">
        <v>46392</v>
      </c>
      <c r="C183" s="8" t="str">
        <f aca="false">TEXT(B183,"ddd")</f>
        <v>Tue</v>
      </c>
      <c r="D183" s="8" t="s">
        <v>128</v>
      </c>
      <c r="E183" s="8" t="s">
        <v>129</v>
      </c>
      <c r="F183" s="10" t="s">
        <v>3</v>
      </c>
      <c r="G183" s="8" t="s">
        <v>10</v>
      </c>
      <c r="H183" s="8" t="s">
        <v>2011</v>
      </c>
      <c r="I183" s="11" t="s">
        <v>2012</v>
      </c>
      <c r="J183" s="11" t="s">
        <v>2013</v>
      </c>
      <c r="K183" s="11" t="s">
        <v>2014</v>
      </c>
      <c r="L183" s="11" t="s">
        <v>2015</v>
      </c>
      <c r="M183" s="11" t="s">
        <v>2016</v>
      </c>
      <c r="N183" s="11" t="s">
        <v>2017</v>
      </c>
      <c r="O183" s="8" t="s">
        <v>491</v>
      </c>
      <c r="P183" s="8" t="s">
        <v>66</v>
      </c>
      <c r="Q183" s="11"/>
      <c r="R183" s="8" t="s">
        <v>2018</v>
      </c>
      <c r="S183" s="11" t="s">
        <v>253</v>
      </c>
      <c r="T183" s="8" t="s">
        <v>2019</v>
      </c>
      <c r="U183" s="11" t="s">
        <v>70</v>
      </c>
      <c r="V183" s="8" t="s">
        <v>14</v>
      </c>
      <c r="W183" s="8"/>
      <c r="X183" s="8"/>
      <c r="Y183" s="12"/>
      <c r="Z183" s="8" t="s">
        <v>113</v>
      </c>
      <c r="AA183" s="8"/>
    </row>
    <row r="184" customFormat="false" ht="120" hidden="false" customHeight="true" outlineLevel="0" collapsed="false">
      <c r="A184" s="8" t="n">
        <v>183</v>
      </c>
      <c r="B184" s="9" t="n">
        <v>46393</v>
      </c>
      <c r="C184" s="8" t="str">
        <f aca="false">TEXT(B184,"ddd")</f>
        <v>Wed</v>
      </c>
      <c r="D184" s="8" t="s">
        <v>255</v>
      </c>
      <c r="E184" s="8" t="s">
        <v>129</v>
      </c>
      <c r="F184" s="13" t="s">
        <v>4</v>
      </c>
      <c r="G184" s="8" t="s">
        <v>10</v>
      </c>
      <c r="H184" s="8" t="s">
        <v>2020</v>
      </c>
      <c r="I184" s="11" t="s">
        <v>2021</v>
      </c>
      <c r="J184" s="11" t="s">
        <v>2022</v>
      </c>
      <c r="K184" s="11" t="s">
        <v>2023</v>
      </c>
      <c r="L184" s="11" t="s">
        <v>2024</v>
      </c>
      <c r="M184" s="11" t="s">
        <v>2025</v>
      </c>
      <c r="N184" s="11" t="s">
        <v>2026</v>
      </c>
      <c r="O184" s="8" t="s">
        <v>2027</v>
      </c>
      <c r="P184" s="8" t="s">
        <v>81</v>
      </c>
      <c r="Q184" s="11"/>
      <c r="R184" s="8" t="s">
        <v>2028</v>
      </c>
      <c r="S184" s="11" t="s">
        <v>2029</v>
      </c>
      <c r="T184" s="8" t="s">
        <v>2030</v>
      </c>
      <c r="U184" s="11" t="s">
        <v>85</v>
      </c>
      <c r="V184" s="8" t="s">
        <v>14</v>
      </c>
      <c r="W184" s="8"/>
      <c r="X184" s="8"/>
      <c r="Y184" s="12"/>
      <c r="Z184" s="8" t="s">
        <v>113</v>
      </c>
      <c r="AA184" s="8"/>
    </row>
    <row r="185" customFormat="false" ht="120" hidden="false" customHeight="true" outlineLevel="0" collapsed="false">
      <c r="A185" s="8" t="n">
        <v>184</v>
      </c>
      <c r="B185" s="9" t="n">
        <v>46393</v>
      </c>
      <c r="C185" s="8" t="str">
        <f aca="false">TEXT(B185,"ddd")</f>
        <v>Wed</v>
      </c>
      <c r="D185" s="8" t="s">
        <v>101</v>
      </c>
      <c r="E185" s="8" t="s">
        <v>57</v>
      </c>
      <c r="F185" s="14" t="s">
        <v>5</v>
      </c>
      <c r="G185" s="8" t="s">
        <v>12</v>
      </c>
      <c r="H185" s="8" t="s">
        <v>2031</v>
      </c>
      <c r="I185" s="11" t="s">
        <v>2032</v>
      </c>
      <c r="J185" s="11" t="s">
        <v>2033</v>
      </c>
      <c r="K185" s="11" t="s">
        <v>2034</v>
      </c>
      <c r="L185" s="11" t="s">
        <v>2035</v>
      </c>
      <c r="M185" s="11" t="s">
        <v>2036</v>
      </c>
      <c r="N185" s="11" t="s">
        <v>2037</v>
      </c>
      <c r="O185" s="8" t="s">
        <v>2038</v>
      </c>
      <c r="P185" s="8" t="s">
        <v>122</v>
      </c>
      <c r="Q185" s="11" t="s">
        <v>2039</v>
      </c>
      <c r="R185" s="8" t="s">
        <v>2040</v>
      </c>
      <c r="S185" s="11" t="s">
        <v>2041</v>
      </c>
      <c r="T185" s="8" t="s">
        <v>2042</v>
      </c>
      <c r="U185" s="11" t="s">
        <v>127</v>
      </c>
      <c r="V185" s="8" t="s">
        <v>14</v>
      </c>
      <c r="W185" s="8"/>
      <c r="X185" s="8"/>
      <c r="Y185" s="12"/>
      <c r="Z185" s="8" t="s">
        <v>113</v>
      </c>
      <c r="AA185" s="8"/>
    </row>
    <row r="186" customFormat="false" ht="120" hidden="false" customHeight="true" outlineLevel="0" collapsed="false">
      <c r="A186" s="8" t="n">
        <v>185</v>
      </c>
      <c r="B186" s="9" t="n">
        <v>46394</v>
      </c>
      <c r="C186" s="8" t="str">
        <f aca="false">TEXT(B186,"ddd")</f>
        <v>Thu</v>
      </c>
      <c r="D186" s="8" t="s">
        <v>187</v>
      </c>
      <c r="E186" s="8" t="s">
        <v>188</v>
      </c>
      <c r="F186" s="10" t="s">
        <v>3</v>
      </c>
      <c r="G186" s="8" t="s">
        <v>11</v>
      </c>
      <c r="H186" s="8" t="s">
        <v>2043</v>
      </c>
      <c r="I186" s="11" t="s">
        <v>2044</v>
      </c>
      <c r="J186" s="11" t="s">
        <v>2045</v>
      </c>
      <c r="K186" s="11" t="s">
        <v>2046</v>
      </c>
      <c r="L186" s="11" t="s">
        <v>2047</v>
      </c>
      <c r="M186" s="11" t="s">
        <v>2048</v>
      </c>
      <c r="N186" s="11" t="s">
        <v>2049</v>
      </c>
      <c r="O186" s="8" t="s">
        <v>1308</v>
      </c>
      <c r="P186" s="8" t="s">
        <v>66</v>
      </c>
      <c r="Q186" s="11"/>
      <c r="R186" s="8" t="s">
        <v>2050</v>
      </c>
      <c r="S186" s="11" t="s">
        <v>2051</v>
      </c>
      <c r="T186" s="8" t="s">
        <v>2052</v>
      </c>
      <c r="U186" s="11" t="s">
        <v>70</v>
      </c>
      <c r="V186" s="8" t="s">
        <v>14</v>
      </c>
      <c r="W186" s="8"/>
      <c r="X186" s="8"/>
      <c r="Y186" s="12"/>
      <c r="Z186" s="8" t="s">
        <v>113</v>
      </c>
      <c r="AA186" s="8"/>
    </row>
    <row r="187" customFormat="false" ht="120" hidden="false" customHeight="true" outlineLevel="0" collapsed="false">
      <c r="A187" s="8" t="n">
        <v>186</v>
      </c>
      <c r="B187" s="9" t="n">
        <v>46394</v>
      </c>
      <c r="C187" s="8" t="str">
        <f aca="false">TEXT(B187,"ddd")</f>
        <v>Thu</v>
      </c>
      <c r="D187" s="8" t="s">
        <v>128</v>
      </c>
      <c r="E187" s="8" t="s">
        <v>129</v>
      </c>
      <c r="F187" s="10" t="s">
        <v>3</v>
      </c>
      <c r="G187" s="8" t="s">
        <v>10</v>
      </c>
      <c r="H187" s="8" t="s">
        <v>2053</v>
      </c>
      <c r="I187" s="11" t="s">
        <v>2054</v>
      </c>
      <c r="J187" s="11" t="s">
        <v>2055</v>
      </c>
      <c r="K187" s="11" t="s">
        <v>2056</v>
      </c>
      <c r="L187" s="11" t="s">
        <v>2057</v>
      </c>
      <c r="M187" s="11" t="s">
        <v>2058</v>
      </c>
      <c r="N187" s="11" t="s">
        <v>2059</v>
      </c>
      <c r="O187" s="8" t="s">
        <v>2060</v>
      </c>
      <c r="P187" s="8" t="s">
        <v>66</v>
      </c>
      <c r="Q187" s="11"/>
      <c r="R187" s="8" t="s">
        <v>2061</v>
      </c>
      <c r="S187" s="11" t="s">
        <v>2062</v>
      </c>
      <c r="T187" s="8" t="s">
        <v>2063</v>
      </c>
      <c r="U187" s="11" t="s">
        <v>70</v>
      </c>
      <c r="V187" s="8" t="s">
        <v>14</v>
      </c>
      <c r="W187" s="8"/>
      <c r="X187" s="8"/>
      <c r="Y187" s="12"/>
      <c r="Z187" s="8" t="s">
        <v>113</v>
      </c>
      <c r="AA187" s="8"/>
    </row>
    <row r="188" customFormat="false" ht="120" hidden="false" customHeight="true" outlineLevel="0" collapsed="false">
      <c r="A188" s="8" t="n">
        <v>187</v>
      </c>
      <c r="B188" s="9" t="n">
        <v>46395</v>
      </c>
      <c r="C188" s="8" t="str">
        <f aca="false">TEXT(B188,"ddd")</f>
        <v>Fri</v>
      </c>
      <c r="D188" s="8" t="s">
        <v>56</v>
      </c>
      <c r="E188" s="8" t="s">
        <v>57</v>
      </c>
      <c r="F188" s="13" t="s">
        <v>4</v>
      </c>
      <c r="G188" s="8" t="s">
        <v>9</v>
      </c>
      <c r="H188" s="8" t="s">
        <v>2064</v>
      </c>
      <c r="I188" s="11" t="s">
        <v>2065</v>
      </c>
      <c r="J188" s="11" t="s">
        <v>2066</v>
      </c>
      <c r="K188" s="11" t="s">
        <v>2067</v>
      </c>
      <c r="L188" s="11" t="s">
        <v>2068</v>
      </c>
      <c r="M188" s="11" t="s">
        <v>2069</v>
      </c>
      <c r="N188" s="11" t="s">
        <v>2070</v>
      </c>
      <c r="O188" s="8" t="s">
        <v>80</v>
      </c>
      <c r="P188" s="8" t="s">
        <v>81</v>
      </c>
      <c r="Q188" s="11"/>
      <c r="R188" s="8" t="s">
        <v>2071</v>
      </c>
      <c r="S188" s="11" t="s">
        <v>2072</v>
      </c>
      <c r="T188" s="8" t="s">
        <v>2073</v>
      </c>
      <c r="U188" s="11" t="s">
        <v>85</v>
      </c>
      <c r="V188" s="8" t="s">
        <v>14</v>
      </c>
      <c r="W188" s="8"/>
      <c r="X188" s="8"/>
      <c r="Y188" s="12"/>
      <c r="Z188" s="8" t="s">
        <v>113</v>
      </c>
      <c r="AA188" s="8"/>
    </row>
    <row r="189" customFormat="false" ht="120" hidden="false" customHeight="true" outlineLevel="0" collapsed="false">
      <c r="A189" s="8" t="n">
        <v>188</v>
      </c>
      <c r="B189" s="9" t="n">
        <v>46395</v>
      </c>
      <c r="C189" s="8" t="str">
        <f aca="false">TEXT(B189,"ddd")</f>
        <v>Fri</v>
      </c>
      <c r="D189" s="8" t="s">
        <v>221</v>
      </c>
      <c r="E189" s="8" t="s">
        <v>188</v>
      </c>
      <c r="F189" s="10" t="s">
        <v>3</v>
      </c>
      <c r="G189" s="8" t="s">
        <v>11</v>
      </c>
      <c r="H189" s="8" t="s">
        <v>2074</v>
      </c>
      <c r="I189" s="11" t="s">
        <v>2075</v>
      </c>
      <c r="J189" s="11" t="s">
        <v>2076</v>
      </c>
      <c r="K189" s="11" t="s">
        <v>2077</v>
      </c>
      <c r="L189" s="11" t="s">
        <v>2078</v>
      </c>
      <c r="M189" s="11" t="s">
        <v>2079</v>
      </c>
      <c r="N189" s="11" t="s">
        <v>2080</v>
      </c>
      <c r="O189" s="8" t="s">
        <v>390</v>
      </c>
      <c r="P189" s="8" t="s">
        <v>66</v>
      </c>
      <c r="Q189" s="11"/>
      <c r="R189" s="8" t="s">
        <v>2081</v>
      </c>
      <c r="S189" s="11" t="s">
        <v>2082</v>
      </c>
      <c r="T189" s="8" t="s">
        <v>2083</v>
      </c>
      <c r="U189" s="11" t="s">
        <v>70</v>
      </c>
      <c r="V189" s="8" t="s">
        <v>14</v>
      </c>
      <c r="W189" s="8"/>
      <c r="X189" s="8"/>
      <c r="Y189" s="12"/>
      <c r="Z189" s="8" t="s">
        <v>113</v>
      </c>
      <c r="AA189" s="8"/>
    </row>
    <row r="190" customFormat="false" ht="120" hidden="false" customHeight="true" outlineLevel="0" collapsed="false">
      <c r="A190" s="8" t="n">
        <v>189</v>
      </c>
      <c r="B190" s="9" t="n">
        <v>46396</v>
      </c>
      <c r="C190" s="8" t="str">
        <f aca="false">TEXT(B190,"ddd")</f>
        <v>Sat</v>
      </c>
      <c r="D190" s="8" t="s">
        <v>56</v>
      </c>
      <c r="E190" s="8" t="s">
        <v>57</v>
      </c>
      <c r="F190" s="13" t="s">
        <v>4</v>
      </c>
      <c r="G190" s="8" t="s">
        <v>9</v>
      </c>
      <c r="H190" s="8" t="s">
        <v>2084</v>
      </c>
      <c r="I190" s="11" t="s">
        <v>2085</v>
      </c>
      <c r="J190" s="11" t="s">
        <v>2086</v>
      </c>
      <c r="K190" s="11" t="s">
        <v>2087</v>
      </c>
      <c r="L190" s="11" t="s">
        <v>2088</v>
      </c>
      <c r="M190" s="11" t="s">
        <v>2089</v>
      </c>
      <c r="N190" s="11" t="s">
        <v>2090</v>
      </c>
      <c r="O190" s="8" t="s">
        <v>1083</v>
      </c>
      <c r="P190" s="8" t="s">
        <v>81</v>
      </c>
      <c r="Q190" s="11"/>
      <c r="R190" s="8" t="s">
        <v>2091</v>
      </c>
      <c r="S190" s="11" t="s">
        <v>2092</v>
      </c>
      <c r="T190" s="8" t="s">
        <v>2093</v>
      </c>
      <c r="U190" s="11" t="s">
        <v>85</v>
      </c>
      <c r="V190" s="8" t="s">
        <v>14</v>
      </c>
      <c r="W190" s="8"/>
      <c r="X190" s="8"/>
      <c r="Y190" s="12"/>
      <c r="Z190" s="8" t="s">
        <v>113</v>
      </c>
      <c r="AA190" s="8"/>
    </row>
    <row r="191" customFormat="false" ht="120" hidden="false" customHeight="true" outlineLevel="0" collapsed="false">
      <c r="A191" s="8" t="n">
        <v>190</v>
      </c>
      <c r="B191" s="9" t="n">
        <v>46396</v>
      </c>
      <c r="C191" s="8" t="str">
        <f aca="false">TEXT(B191,"ddd")</f>
        <v>Sat</v>
      </c>
      <c r="D191" s="8" t="s">
        <v>128</v>
      </c>
      <c r="E191" s="8" t="s">
        <v>129</v>
      </c>
      <c r="F191" s="10" t="s">
        <v>3</v>
      </c>
      <c r="G191" s="8" t="s">
        <v>10</v>
      </c>
      <c r="H191" s="8" t="s">
        <v>2094</v>
      </c>
      <c r="I191" s="11" t="s">
        <v>2095</v>
      </c>
      <c r="J191" s="11" t="s">
        <v>2096</v>
      </c>
      <c r="K191" s="11" t="s">
        <v>2097</v>
      </c>
      <c r="L191" s="11" t="s">
        <v>2098</v>
      </c>
      <c r="M191" s="11" t="s">
        <v>2099</v>
      </c>
      <c r="N191" s="11" t="s">
        <v>2100</v>
      </c>
      <c r="O191" s="8" t="s">
        <v>2101</v>
      </c>
      <c r="P191" s="8" t="s">
        <v>66</v>
      </c>
      <c r="Q191" s="11"/>
      <c r="R191" s="8" t="s">
        <v>2102</v>
      </c>
      <c r="S191" s="11" t="s">
        <v>2103</v>
      </c>
      <c r="T191" s="8" t="s">
        <v>2104</v>
      </c>
      <c r="U191" s="11" t="s">
        <v>70</v>
      </c>
      <c r="V191" s="8" t="s">
        <v>14</v>
      </c>
      <c r="W191" s="8"/>
      <c r="X191" s="8"/>
      <c r="Y191" s="12"/>
      <c r="Z191" s="8" t="s">
        <v>113</v>
      </c>
      <c r="AA191" s="8"/>
    </row>
    <row r="192" customFormat="false" ht="120" hidden="false" customHeight="true" outlineLevel="0" collapsed="false">
      <c r="A192" s="8" t="n">
        <v>191</v>
      </c>
      <c r="B192" s="9" t="n">
        <v>46397</v>
      </c>
      <c r="C192" s="8" t="str">
        <f aca="false">TEXT(B192,"ddd")</f>
        <v>Sun</v>
      </c>
      <c r="D192" s="8" t="s">
        <v>56</v>
      </c>
      <c r="E192" s="8" t="s">
        <v>57</v>
      </c>
      <c r="F192" s="14" t="s">
        <v>5</v>
      </c>
      <c r="G192" s="8" t="s">
        <v>9</v>
      </c>
      <c r="H192" s="8" t="s">
        <v>2105</v>
      </c>
      <c r="I192" s="11" t="s">
        <v>2106</v>
      </c>
      <c r="J192" s="11" t="s">
        <v>2107</v>
      </c>
      <c r="K192" s="11" t="s">
        <v>2108</v>
      </c>
      <c r="L192" s="11" t="s">
        <v>2109</v>
      </c>
      <c r="M192" s="11" t="s">
        <v>2110</v>
      </c>
      <c r="N192" s="11" t="s">
        <v>2111</v>
      </c>
      <c r="O192" s="8" t="s">
        <v>608</v>
      </c>
      <c r="P192" s="8" t="s">
        <v>122</v>
      </c>
      <c r="Q192" s="11" t="s">
        <v>2112</v>
      </c>
      <c r="R192" s="8" t="s">
        <v>2113</v>
      </c>
      <c r="S192" s="11" t="s">
        <v>2114</v>
      </c>
      <c r="T192" s="8" t="s">
        <v>2115</v>
      </c>
      <c r="U192" s="11" t="s">
        <v>127</v>
      </c>
      <c r="V192" s="8" t="s">
        <v>14</v>
      </c>
      <c r="W192" s="8"/>
      <c r="X192" s="8"/>
      <c r="Y192" s="12"/>
      <c r="Z192" s="8" t="s">
        <v>113</v>
      </c>
      <c r="AA192" s="8"/>
    </row>
    <row r="193" customFormat="false" ht="120" hidden="false" customHeight="true" outlineLevel="0" collapsed="false">
      <c r="A193" s="8" t="n">
        <v>192</v>
      </c>
      <c r="B193" s="9" t="n">
        <v>46397</v>
      </c>
      <c r="C193" s="8" t="str">
        <f aca="false">TEXT(B193,"ddd")</f>
        <v>Sun</v>
      </c>
      <c r="D193" s="8" t="s">
        <v>221</v>
      </c>
      <c r="E193" s="8" t="s">
        <v>188</v>
      </c>
      <c r="F193" s="10" t="s">
        <v>3</v>
      </c>
      <c r="G193" s="8" t="s">
        <v>11</v>
      </c>
      <c r="H193" s="8" t="s">
        <v>2116</v>
      </c>
      <c r="I193" s="11" t="s">
        <v>2117</v>
      </c>
      <c r="J193" s="11" t="s">
        <v>2118</v>
      </c>
      <c r="K193" s="11" t="s">
        <v>2119</v>
      </c>
      <c r="L193" s="11" t="s">
        <v>2120</v>
      </c>
      <c r="M193" s="11" t="s">
        <v>2121</v>
      </c>
      <c r="N193" s="11" t="s">
        <v>2122</v>
      </c>
      <c r="O193" s="8" t="s">
        <v>274</v>
      </c>
      <c r="P193" s="8" t="s">
        <v>66</v>
      </c>
      <c r="Q193" s="11"/>
      <c r="R193" s="8" t="s">
        <v>2123</v>
      </c>
      <c r="S193" s="11" t="s">
        <v>2124</v>
      </c>
      <c r="T193" s="8" t="s">
        <v>2125</v>
      </c>
      <c r="U193" s="11" t="s">
        <v>70</v>
      </c>
      <c r="V193" s="8" t="s">
        <v>14</v>
      </c>
      <c r="W193" s="8"/>
      <c r="X193" s="8"/>
      <c r="Y193" s="12"/>
      <c r="Z193" s="8" t="s">
        <v>113</v>
      </c>
      <c r="AA193" s="8"/>
    </row>
    <row r="194" customFormat="false" ht="120" hidden="false" customHeight="true" outlineLevel="0" collapsed="false">
      <c r="A194" s="8" t="n">
        <v>193</v>
      </c>
      <c r="B194" s="9" t="n">
        <v>46398</v>
      </c>
      <c r="C194" s="8" t="str">
        <f aca="false">TEXT(B194,"ddd")</f>
        <v>Mon</v>
      </c>
      <c r="D194" s="8" t="s">
        <v>56</v>
      </c>
      <c r="E194" s="8" t="s">
        <v>57</v>
      </c>
      <c r="F194" s="13" t="s">
        <v>4</v>
      </c>
      <c r="G194" s="8" t="s">
        <v>9</v>
      </c>
      <c r="H194" s="8" t="s">
        <v>2126</v>
      </c>
      <c r="I194" s="11" t="s">
        <v>2127</v>
      </c>
      <c r="J194" s="11" t="s">
        <v>2128</v>
      </c>
      <c r="K194" s="11" t="s">
        <v>2129</v>
      </c>
      <c r="L194" s="11" t="s">
        <v>2130</v>
      </c>
      <c r="M194" s="11" t="s">
        <v>2131</v>
      </c>
      <c r="N194" s="11" t="s">
        <v>2132</v>
      </c>
      <c r="O194" s="8" t="s">
        <v>2133</v>
      </c>
      <c r="P194" s="8" t="s">
        <v>81</v>
      </c>
      <c r="Q194" s="11"/>
      <c r="R194" s="8" t="s">
        <v>2134</v>
      </c>
      <c r="S194" s="11" t="s">
        <v>2135</v>
      </c>
      <c r="T194" s="8" t="s">
        <v>2136</v>
      </c>
      <c r="U194" s="11" t="s">
        <v>85</v>
      </c>
      <c r="V194" s="8" t="s">
        <v>14</v>
      </c>
      <c r="W194" s="8"/>
      <c r="X194" s="8"/>
      <c r="Y194" s="12"/>
      <c r="Z194" s="8" t="s">
        <v>113</v>
      </c>
      <c r="AA194" s="8"/>
    </row>
    <row r="195" customFormat="false" ht="120" hidden="false" customHeight="true" outlineLevel="0" collapsed="false">
      <c r="A195" s="8" t="n">
        <v>194</v>
      </c>
      <c r="B195" s="9" t="n">
        <v>46398</v>
      </c>
      <c r="C195" s="8" t="str">
        <f aca="false">TEXT(B195,"ddd")</f>
        <v>Mon</v>
      </c>
      <c r="D195" s="8" t="s">
        <v>221</v>
      </c>
      <c r="E195" s="8" t="s">
        <v>188</v>
      </c>
      <c r="F195" s="10" t="s">
        <v>3</v>
      </c>
      <c r="G195" s="8" t="s">
        <v>11</v>
      </c>
      <c r="H195" s="8" t="s">
        <v>2137</v>
      </c>
      <c r="I195" s="11" t="s">
        <v>2138</v>
      </c>
      <c r="J195" s="11" t="s">
        <v>2139</v>
      </c>
      <c r="K195" s="11" t="s">
        <v>2140</v>
      </c>
      <c r="L195" s="11" t="s">
        <v>2141</v>
      </c>
      <c r="M195" s="11" t="s">
        <v>2142</v>
      </c>
      <c r="N195" s="11" t="s">
        <v>2143</v>
      </c>
      <c r="O195" s="8" t="s">
        <v>2144</v>
      </c>
      <c r="P195" s="8" t="s">
        <v>66</v>
      </c>
      <c r="Q195" s="11"/>
      <c r="R195" s="8" t="s">
        <v>2145</v>
      </c>
      <c r="S195" s="11" t="s">
        <v>2146</v>
      </c>
      <c r="T195" s="8" t="s">
        <v>2147</v>
      </c>
      <c r="U195" s="11" t="s">
        <v>70</v>
      </c>
      <c r="V195" s="8" t="s">
        <v>14</v>
      </c>
      <c r="W195" s="8"/>
      <c r="X195" s="8"/>
      <c r="Y195" s="12"/>
      <c r="Z195" s="8" t="s">
        <v>113</v>
      </c>
      <c r="AA195" s="8"/>
    </row>
    <row r="196" customFormat="false" ht="120" hidden="false" customHeight="true" outlineLevel="0" collapsed="false">
      <c r="A196" s="8" t="n">
        <v>195</v>
      </c>
      <c r="B196" s="9" t="n">
        <v>46399</v>
      </c>
      <c r="C196" s="8" t="str">
        <f aca="false">TEXT(B196,"ddd")</f>
        <v>Tue</v>
      </c>
      <c r="D196" s="8" t="s">
        <v>56</v>
      </c>
      <c r="E196" s="8" t="s">
        <v>57</v>
      </c>
      <c r="F196" s="13" t="s">
        <v>4</v>
      </c>
      <c r="G196" s="8" t="s">
        <v>9</v>
      </c>
      <c r="H196" s="8" t="s">
        <v>2148</v>
      </c>
      <c r="I196" s="11" t="s">
        <v>2149</v>
      </c>
      <c r="J196" s="11" t="s">
        <v>2150</v>
      </c>
      <c r="K196" s="11" t="s">
        <v>2151</v>
      </c>
      <c r="L196" s="11" t="s">
        <v>2152</v>
      </c>
      <c r="M196" s="11" t="s">
        <v>2153</v>
      </c>
      <c r="N196" s="11" t="s">
        <v>2154</v>
      </c>
      <c r="O196" s="8" t="s">
        <v>2155</v>
      </c>
      <c r="P196" s="8" t="s">
        <v>81</v>
      </c>
      <c r="Q196" s="11"/>
      <c r="R196" s="8" t="s">
        <v>2156</v>
      </c>
      <c r="S196" s="11" t="s">
        <v>2157</v>
      </c>
      <c r="T196" s="8" t="s">
        <v>2158</v>
      </c>
      <c r="U196" s="11" t="s">
        <v>85</v>
      </c>
      <c r="V196" s="8" t="s">
        <v>14</v>
      </c>
      <c r="W196" s="8"/>
      <c r="X196" s="8"/>
      <c r="Y196" s="12"/>
      <c r="Z196" s="8" t="s">
        <v>113</v>
      </c>
      <c r="AA196" s="8"/>
    </row>
    <row r="197" customFormat="false" ht="120" hidden="false" customHeight="true" outlineLevel="0" collapsed="false">
      <c r="A197" s="8" t="n">
        <v>196</v>
      </c>
      <c r="B197" s="9" t="n">
        <v>46399</v>
      </c>
      <c r="C197" s="8" t="str">
        <f aca="false">TEXT(B197,"ddd")</f>
        <v>Tue</v>
      </c>
      <c r="D197" s="8" t="s">
        <v>72</v>
      </c>
      <c r="E197" s="8" t="s">
        <v>57</v>
      </c>
      <c r="F197" s="14" t="s">
        <v>5</v>
      </c>
      <c r="G197" s="8" t="s">
        <v>9</v>
      </c>
      <c r="H197" s="8" t="s">
        <v>1966</v>
      </c>
      <c r="I197" s="11" t="s">
        <v>2159</v>
      </c>
      <c r="J197" s="11" t="s">
        <v>2160</v>
      </c>
      <c r="K197" s="11" t="s">
        <v>2161</v>
      </c>
      <c r="L197" s="11" t="s">
        <v>2162</v>
      </c>
      <c r="M197" s="11" t="s">
        <v>2163</v>
      </c>
      <c r="N197" s="11" t="s">
        <v>2164</v>
      </c>
      <c r="O197" s="8" t="s">
        <v>183</v>
      </c>
      <c r="P197" s="8" t="s">
        <v>122</v>
      </c>
      <c r="Q197" s="11" t="s">
        <v>2165</v>
      </c>
      <c r="R197" s="8" t="s">
        <v>1961</v>
      </c>
      <c r="S197" s="11" t="s">
        <v>1962</v>
      </c>
      <c r="T197" s="8" t="s">
        <v>2166</v>
      </c>
      <c r="U197" s="11" t="s">
        <v>127</v>
      </c>
      <c r="V197" s="8" t="s">
        <v>14</v>
      </c>
      <c r="W197" s="8"/>
      <c r="X197" s="8" t="s">
        <v>1964</v>
      </c>
      <c r="Y197" s="12" t="s">
        <v>1965</v>
      </c>
      <c r="Z197" s="8" t="s">
        <v>150</v>
      </c>
      <c r="AA197" s="8" t="s">
        <v>1953</v>
      </c>
    </row>
    <row r="198" customFormat="false" ht="120" hidden="false" customHeight="true" outlineLevel="0" collapsed="false">
      <c r="A198" s="8" t="n">
        <v>197</v>
      </c>
      <c r="B198" s="9" t="n">
        <v>46400</v>
      </c>
      <c r="C198" s="8" t="str">
        <f aca="false">TEXT(B198,"ddd")</f>
        <v>Wed</v>
      </c>
      <c r="D198" s="8" t="s">
        <v>56</v>
      </c>
      <c r="E198" s="8" t="s">
        <v>57</v>
      </c>
      <c r="F198" s="14" t="s">
        <v>5</v>
      </c>
      <c r="G198" s="8" t="s">
        <v>9</v>
      </c>
      <c r="H198" s="8" t="s">
        <v>1988</v>
      </c>
      <c r="I198" s="11" t="s">
        <v>2167</v>
      </c>
      <c r="J198" s="11" t="s">
        <v>2168</v>
      </c>
      <c r="K198" s="11" t="s">
        <v>2169</v>
      </c>
      <c r="L198" s="11" t="s">
        <v>2170</v>
      </c>
      <c r="M198" s="11" t="s">
        <v>2171</v>
      </c>
      <c r="N198" s="11" t="s">
        <v>2172</v>
      </c>
      <c r="O198" s="8" t="s">
        <v>183</v>
      </c>
      <c r="P198" s="8" t="s">
        <v>122</v>
      </c>
      <c r="Q198" s="11" t="s">
        <v>2173</v>
      </c>
      <c r="R198" s="8" t="s">
        <v>1984</v>
      </c>
      <c r="S198" s="11" t="s">
        <v>83</v>
      </c>
      <c r="T198" s="8" t="s">
        <v>2174</v>
      </c>
      <c r="U198" s="11" t="s">
        <v>127</v>
      </c>
      <c r="V198" s="8" t="s">
        <v>14</v>
      </c>
      <c r="W198" s="8"/>
      <c r="X198" s="8" t="s">
        <v>1986</v>
      </c>
      <c r="Y198" s="12" t="s">
        <v>1987</v>
      </c>
      <c r="Z198" s="8" t="s">
        <v>150</v>
      </c>
      <c r="AA198" s="8" t="s">
        <v>1977</v>
      </c>
    </row>
    <row r="199" customFormat="false" ht="120" hidden="false" customHeight="true" outlineLevel="0" collapsed="false">
      <c r="A199" s="8" t="n">
        <v>198</v>
      </c>
      <c r="B199" s="9" t="n">
        <v>46400</v>
      </c>
      <c r="C199" s="8" t="str">
        <f aca="false">TEXT(B199,"ddd")</f>
        <v>Wed</v>
      </c>
      <c r="D199" s="8" t="s">
        <v>72</v>
      </c>
      <c r="E199" s="8" t="s">
        <v>57</v>
      </c>
      <c r="F199" s="10" t="s">
        <v>3</v>
      </c>
      <c r="G199" s="8" t="s">
        <v>9</v>
      </c>
      <c r="H199" s="8" t="s">
        <v>2175</v>
      </c>
      <c r="I199" s="11" t="s">
        <v>2176</v>
      </c>
      <c r="J199" s="11" t="s">
        <v>2177</v>
      </c>
      <c r="K199" s="11" t="s">
        <v>2178</v>
      </c>
      <c r="L199" s="11" t="s">
        <v>2179</v>
      </c>
      <c r="M199" s="11" t="s">
        <v>2180</v>
      </c>
      <c r="N199" s="11" t="s">
        <v>2181</v>
      </c>
      <c r="O199" s="8" t="s">
        <v>2182</v>
      </c>
      <c r="P199" s="8" t="s">
        <v>66</v>
      </c>
      <c r="Q199" s="11"/>
      <c r="R199" s="8" t="s">
        <v>2183</v>
      </c>
      <c r="S199" s="11" t="s">
        <v>2184</v>
      </c>
      <c r="T199" s="8" t="s">
        <v>2185</v>
      </c>
      <c r="U199" s="11" t="s">
        <v>70</v>
      </c>
      <c r="V199" s="8" t="s">
        <v>14</v>
      </c>
      <c r="W199" s="8"/>
      <c r="X199" s="8" t="s">
        <v>1964</v>
      </c>
      <c r="Y199" s="12" t="s">
        <v>1965</v>
      </c>
      <c r="Z199" s="8" t="s">
        <v>175</v>
      </c>
      <c r="AA199" s="8"/>
    </row>
    <row r="200" customFormat="false" ht="120" hidden="false" customHeight="true" outlineLevel="0" collapsed="false">
      <c r="A200" s="8" t="n">
        <v>199</v>
      </c>
      <c r="B200" s="9" t="n">
        <v>46401</v>
      </c>
      <c r="C200" s="8" t="str">
        <f aca="false">TEXT(B200,"ddd")</f>
        <v>Thu</v>
      </c>
      <c r="D200" s="8" t="s">
        <v>56</v>
      </c>
      <c r="E200" s="8" t="s">
        <v>57</v>
      </c>
      <c r="F200" s="10" t="s">
        <v>3</v>
      </c>
      <c r="G200" s="8" t="s">
        <v>9</v>
      </c>
      <c r="H200" s="8" t="s">
        <v>2186</v>
      </c>
      <c r="I200" s="11" t="s">
        <v>2187</v>
      </c>
      <c r="J200" s="11" t="s">
        <v>2188</v>
      </c>
      <c r="K200" s="11" t="s">
        <v>2189</v>
      </c>
      <c r="L200" s="11" t="s">
        <v>2190</v>
      </c>
      <c r="M200" s="11" t="s">
        <v>2191</v>
      </c>
      <c r="N200" s="11" t="s">
        <v>2192</v>
      </c>
      <c r="O200" s="8" t="s">
        <v>2193</v>
      </c>
      <c r="P200" s="8" t="s">
        <v>66</v>
      </c>
      <c r="Q200" s="11"/>
      <c r="R200" s="8" t="s">
        <v>2194</v>
      </c>
      <c r="S200" s="11" t="s">
        <v>173</v>
      </c>
      <c r="T200" s="8" t="s">
        <v>2195</v>
      </c>
      <c r="U200" s="11" t="s">
        <v>70</v>
      </c>
      <c r="V200" s="8" t="s">
        <v>14</v>
      </c>
      <c r="W200" s="8"/>
      <c r="X200" s="8" t="s">
        <v>1986</v>
      </c>
      <c r="Y200" s="12" t="s">
        <v>1987</v>
      </c>
      <c r="Z200" s="8" t="s">
        <v>175</v>
      </c>
      <c r="AA200" s="8"/>
    </row>
    <row r="201" customFormat="false" ht="120" hidden="false" customHeight="true" outlineLevel="0" collapsed="false">
      <c r="A201" s="8" t="n">
        <v>200</v>
      </c>
      <c r="B201" s="9" t="n">
        <v>46401</v>
      </c>
      <c r="C201" s="8" t="str">
        <f aca="false">TEXT(B201,"ddd")</f>
        <v>Thu</v>
      </c>
      <c r="D201" s="8" t="s">
        <v>221</v>
      </c>
      <c r="E201" s="8" t="s">
        <v>188</v>
      </c>
      <c r="F201" s="10" t="s">
        <v>3</v>
      </c>
      <c r="G201" s="8" t="s">
        <v>11</v>
      </c>
      <c r="H201" s="8" t="s">
        <v>2196</v>
      </c>
      <c r="I201" s="11" t="s">
        <v>2197</v>
      </c>
      <c r="J201" s="11" t="s">
        <v>2198</v>
      </c>
      <c r="K201" s="11" t="s">
        <v>2199</v>
      </c>
      <c r="L201" s="11" t="s">
        <v>2200</v>
      </c>
      <c r="M201" s="11" t="s">
        <v>2201</v>
      </c>
      <c r="N201" s="11" t="s">
        <v>2202</v>
      </c>
      <c r="O201" s="8" t="s">
        <v>2203</v>
      </c>
      <c r="P201" s="8" t="s">
        <v>66</v>
      </c>
      <c r="Q201" s="11"/>
      <c r="R201" s="8" t="s">
        <v>2204</v>
      </c>
      <c r="S201" s="11" t="s">
        <v>2205</v>
      </c>
      <c r="T201" s="8" t="s">
        <v>2206</v>
      </c>
      <c r="U201" s="11" t="s">
        <v>70</v>
      </c>
      <c r="V201" s="8" t="s">
        <v>14</v>
      </c>
      <c r="W201" s="8"/>
      <c r="X201" s="8"/>
      <c r="Y201" s="12"/>
      <c r="Z201" s="8" t="s">
        <v>113</v>
      </c>
      <c r="AA201" s="8"/>
    </row>
  </sheetData>
  <autoFilter ref="A1:AA201"/>
  <dataValidations count="1">
    <dataValidation allowBlank="true" errorStyle="stop" operator="between" showDropDown="false" showErrorMessage="false" showInputMessage="false" sqref="V2:V201" type="list">
      <formula1>"Ready,Scheduled,Posted,On 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8"/>
    <col collapsed="false" customWidth="true" hidden="false" outlineLevel="0" max="4" min="4" style="0" width="6"/>
    <col collapsed="false" customWidth="true" hidden="false" outlineLevel="0" max="5" min="5" style="0" width="18"/>
    <col collapsed="false" customWidth="true" hidden="false" outlineLevel="0" max="6" min="6" style="0" width="40"/>
    <col collapsed="false" customWidth="true" hidden="false" outlineLevel="0" max="7" min="7" style="0" width="70"/>
    <col collapsed="false" customWidth="true" hidden="false" outlineLevel="0" max="8" min="8" style="0" width="10"/>
    <col collapsed="false" customWidth="true" hidden="false" outlineLevel="0" max="9" min="9" style="0" width="50"/>
  </cols>
  <sheetData>
    <row r="1" customFormat="false" ht="30" hidden="false" customHeight="true" outlineLevel="0" collapsed="false">
      <c r="A1" s="7" t="s">
        <v>29</v>
      </c>
      <c r="B1" s="7" t="s">
        <v>30</v>
      </c>
      <c r="C1" s="7" t="s">
        <v>36</v>
      </c>
      <c r="D1" s="7" t="s">
        <v>2207</v>
      </c>
      <c r="E1" s="7" t="s">
        <v>2208</v>
      </c>
      <c r="F1" s="7" t="s">
        <v>2209</v>
      </c>
      <c r="G1" s="7" t="s">
        <v>2210</v>
      </c>
      <c r="H1" s="7" t="s">
        <v>2211</v>
      </c>
      <c r="I1" s="7" t="s">
        <v>2212</v>
      </c>
    </row>
    <row r="2" customFormat="false" ht="23.85" hidden="false" customHeight="false" outlineLevel="0" collapsed="false">
      <c r="A2" s="8" t="n">
        <v>2</v>
      </c>
      <c r="B2" s="15" t="n">
        <v>46302</v>
      </c>
      <c r="C2" s="8" t="s">
        <v>73</v>
      </c>
      <c r="D2" s="8" t="n">
        <v>1</v>
      </c>
      <c r="E2" s="8" t="s">
        <v>2213</v>
      </c>
      <c r="F2" s="11" t="s">
        <v>75</v>
      </c>
      <c r="G2" s="11" t="s">
        <v>2214</v>
      </c>
      <c r="H2" s="8" t="s">
        <v>2215</v>
      </c>
      <c r="I2" s="11" t="s">
        <v>2216</v>
      </c>
    </row>
    <row r="3" customFormat="false" ht="23.85" hidden="false" customHeight="false" outlineLevel="0" collapsed="false">
      <c r="A3" s="8" t="n">
        <v>2</v>
      </c>
      <c r="B3" s="15" t="n">
        <v>46302</v>
      </c>
      <c r="C3" s="8" t="s">
        <v>73</v>
      </c>
      <c r="D3" s="8" t="n">
        <v>2</v>
      </c>
      <c r="E3" s="8" t="s">
        <v>2217</v>
      </c>
      <c r="F3" s="11" t="s">
        <v>2218</v>
      </c>
      <c r="G3" s="11" t="s">
        <v>2219</v>
      </c>
      <c r="H3" s="8" t="s">
        <v>2220</v>
      </c>
      <c r="I3" s="11" t="s">
        <v>2221</v>
      </c>
    </row>
    <row r="4" customFormat="false" ht="23.85" hidden="false" customHeight="false" outlineLevel="0" collapsed="false">
      <c r="A4" s="8" t="n">
        <v>2</v>
      </c>
      <c r="B4" s="15" t="n">
        <v>46302</v>
      </c>
      <c r="C4" s="8" t="s">
        <v>73</v>
      </c>
      <c r="D4" s="8" t="n">
        <v>3</v>
      </c>
      <c r="E4" s="8" t="s">
        <v>2222</v>
      </c>
      <c r="F4" s="11" t="s">
        <v>2223</v>
      </c>
      <c r="G4" s="11" t="s">
        <v>2224</v>
      </c>
      <c r="H4" s="8" t="s">
        <v>2225</v>
      </c>
      <c r="I4" s="11" t="s">
        <v>2226</v>
      </c>
    </row>
    <row r="5" customFormat="false" ht="46.25" hidden="false" customHeight="false" outlineLevel="0" collapsed="false">
      <c r="A5" s="8" t="n">
        <v>2</v>
      </c>
      <c r="B5" s="15" t="n">
        <v>46302</v>
      </c>
      <c r="C5" s="8" t="s">
        <v>73</v>
      </c>
      <c r="D5" s="8" t="n">
        <v>4</v>
      </c>
      <c r="E5" s="8" t="s">
        <v>2227</v>
      </c>
      <c r="F5" s="11" t="s">
        <v>2228</v>
      </c>
      <c r="G5" s="11" t="s">
        <v>2229</v>
      </c>
      <c r="H5" s="8" t="s">
        <v>2220</v>
      </c>
      <c r="I5" s="11" t="s">
        <v>2230</v>
      </c>
    </row>
    <row r="6" customFormat="false" ht="23.85" hidden="false" customHeight="false" outlineLevel="0" collapsed="false">
      <c r="A6" s="8" t="n">
        <v>2</v>
      </c>
      <c r="B6" s="15" t="n">
        <v>46302</v>
      </c>
      <c r="C6" s="8" t="s">
        <v>73</v>
      </c>
      <c r="D6" s="8" t="n">
        <v>5</v>
      </c>
      <c r="E6" s="8" t="s">
        <v>2231</v>
      </c>
      <c r="F6" s="11" t="s">
        <v>2232</v>
      </c>
      <c r="G6" s="11" t="s">
        <v>2233</v>
      </c>
      <c r="H6" s="8" t="s">
        <v>2220</v>
      </c>
      <c r="I6" s="11" t="s">
        <v>2234</v>
      </c>
    </row>
    <row r="7" customFormat="false" ht="23.85" hidden="false" customHeight="false" outlineLevel="0" collapsed="false">
      <c r="A7" s="8" t="n">
        <v>2</v>
      </c>
      <c r="B7" s="15" t="n">
        <v>46302</v>
      </c>
      <c r="C7" s="8" t="s">
        <v>73</v>
      </c>
      <c r="D7" s="8" t="n">
        <v>6</v>
      </c>
      <c r="E7" s="8" t="s">
        <v>2235</v>
      </c>
      <c r="F7" s="11" t="s">
        <v>2236</v>
      </c>
      <c r="G7" s="11" t="s">
        <v>2237</v>
      </c>
      <c r="H7" s="8" t="s">
        <v>2220</v>
      </c>
      <c r="I7" s="11" t="s">
        <v>2238</v>
      </c>
    </row>
    <row r="8" customFormat="false" ht="23.85" hidden="false" customHeight="false" outlineLevel="0" collapsed="false">
      <c r="A8" s="8" t="n">
        <v>3</v>
      </c>
      <c r="B8" s="15" t="n">
        <v>46303</v>
      </c>
      <c r="C8" s="8" t="s">
        <v>90</v>
      </c>
      <c r="D8" s="8" t="n">
        <v>1</v>
      </c>
      <c r="E8" s="8" t="s">
        <v>2239</v>
      </c>
      <c r="F8" s="11" t="s">
        <v>92</v>
      </c>
      <c r="G8" s="11" t="s">
        <v>2240</v>
      </c>
      <c r="H8" s="8" t="s">
        <v>2241</v>
      </c>
      <c r="I8" s="11" t="s">
        <v>2242</v>
      </c>
    </row>
    <row r="9" customFormat="false" ht="35.05" hidden="false" customHeight="false" outlineLevel="0" collapsed="false">
      <c r="A9" s="8" t="n">
        <v>3</v>
      </c>
      <c r="B9" s="15" t="n">
        <v>46303</v>
      </c>
      <c r="C9" s="8" t="s">
        <v>90</v>
      </c>
      <c r="D9" s="8" t="n">
        <v>2</v>
      </c>
      <c r="E9" s="8" t="s">
        <v>2243</v>
      </c>
      <c r="F9" s="11" t="s">
        <v>2244</v>
      </c>
      <c r="G9" s="11" t="s">
        <v>2245</v>
      </c>
      <c r="H9" s="8" t="s">
        <v>2220</v>
      </c>
      <c r="I9" s="11" t="s">
        <v>2246</v>
      </c>
    </row>
    <row r="10" customFormat="false" ht="23.85" hidden="false" customHeight="false" outlineLevel="0" collapsed="false">
      <c r="A10" s="8" t="n">
        <v>3</v>
      </c>
      <c r="B10" s="15" t="n">
        <v>46303</v>
      </c>
      <c r="C10" s="8" t="s">
        <v>90</v>
      </c>
      <c r="D10" s="8" t="n">
        <v>3</v>
      </c>
      <c r="E10" s="8" t="s">
        <v>2247</v>
      </c>
      <c r="F10" s="11" t="s">
        <v>2248</v>
      </c>
      <c r="G10" s="11" t="s">
        <v>2249</v>
      </c>
      <c r="H10" s="8" t="s">
        <v>2250</v>
      </c>
      <c r="I10" s="11" t="s">
        <v>2251</v>
      </c>
    </row>
    <row r="11" customFormat="false" ht="23.85" hidden="false" customHeight="false" outlineLevel="0" collapsed="false">
      <c r="A11" s="8" t="n">
        <v>3</v>
      </c>
      <c r="B11" s="15" t="n">
        <v>46303</v>
      </c>
      <c r="C11" s="8" t="s">
        <v>90</v>
      </c>
      <c r="D11" s="8" t="n">
        <v>4</v>
      </c>
      <c r="E11" s="8" t="s">
        <v>2252</v>
      </c>
      <c r="F11" s="11" t="s">
        <v>2253</v>
      </c>
      <c r="G11" s="11" t="s">
        <v>2254</v>
      </c>
      <c r="H11" s="8" t="s">
        <v>2220</v>
      </c>
      <c r="I11" s="11" t="s">
        <v>2255</v>
      </c>
    </row>
    <row r="12" customFormat="false" ht="46.25" hidden="false" customHeight="false" outlineLevel="0" collapsed="false">
      <c r="A12" s="8" t="n">
        <v>3</v>
      </c>
      <c r="B12" s="15" t="n">
        <v>46303</v>
      </c>
      <c r="C12" s="8" t="s">
        <v>90</v>
      </c>
      <c r="D12" s="8" t="n">
        <v>5</v>
      </c>
      <c r="E12" s="8" t="s">
        <v>2256</v>
      </c>
      <c r="F12" s="11" t="s">
        <v>2257</v>
      </c>
      <c r="G12" s="11" t="s">
        <v>2258</v>
      </c>
      <c r="H12" s="8" t="s">
        <v>2220</v>
      </c>
      <c r="I12" s="11" t="s">
        <v>2259</v>
      </c>
    </row>
    <row r="13" customFormat="false" ht="23.85" hidden="false" customHeight="false" outlineLevel="0" collapsed="false">
      <c r="A13" s="8" t="n">
        <v>3</v>
      </c>
      <c r="B13" s="15" t="n">
        <v>46303</v>
      </c>
      <c r="C13" s="8" t="s">
        <v>90</v>
      </c>
      <c r="D13" s="8" t="n">
        <v>6</v>
      </c>
      <c r="E13" s="8" t="s">
        <v>2235</v>
      </c>
      <c r="F13" s="11" t="s">
        <v>2260</v>
      </c>
      <c r="G13" s="11" t="s">
        <v>2261</v>
      </c>
      <c r="H13" s="8" t="s">
        <v>2250</v>
      </c>
      <c r="I13" s="11" t="s">
        <v>2262</v>
      </c>
    </row>
    <row r="14" customFormat="false" ht="23.85" hidden="false" customHeight="false" outlineLevel="0" collapsed="false">
      <c r="A14" s="8" t="n">
        <v>8</v>
      </c>
      <c r="B14" s="15" t="n">
        <v>46305</v>
      </c>
      <c r="C14" s="8" t="s">
        <v>151</v>
      </c>
      <c r="D14" s="8" t="n">
        <v>1</v>
      </c>
      <c r="E14" s="8" t="s">
        <v>2263</v>
      </c>
      <c r="F14" s="11" t="s">
        <v>153</v>
      </c>
      <c r="G14" s="11" t="s">
        <v>2264</v>
      </c>
      <c r="H14" s="8" t="s">
        <v>2265</v>
      </c>
      <c r="I14" s="11" t="s">
        <v>2266</v>
      </c>
    </row>
    <row r="15" customFormat="false" ht="23.85" hidden="false" customHeight="false" outlineLevel="0" collapsed="false">
      <c r="A15" s="8" t="n">
        <v>8</v>
      </c>
      <c r="B15" s="15" t="n">
        <v>46305</v>
      </c>
      <c r="C15" s="8" t="s">
        <v>151</v>
      </c>
      <c r="D15" s="8" t="n">
        <v>2</v>
      </c>
      <c r="E15" s="8" t="s">
        <v>2217</v>
      </c>
      <c r="F15" s="11" t="s">
        <v>2267</v>
      </c>
      <c r="G15" s="11" t="s">
        <v>2268</v>
      </c>
      <c r="H15" s="8" t="s">
        <v>2220</v>
      </c>
      <c r="I15" s="11" t="s">
        <v>2269</v>
      </c>
    </row>
    <row r="16" customFormat="false" ht="35.05" hidden="false" customHeight="false" outlineLevel="0" collapsed="false">
      <c r="A16" s="8" t="n">
        <v>8</v>
      </c>
      <c r="B16" s="15" t="n">
        <v>46305</v>
      </c>
      <c r="C16" s="8" t="s">
        <v>151</v>
      </c>
      <c r="D16" s="8" t="n">
        <v>3</v>
      </c>
      <c r="E16" s="8" t="s">
        <v>2270</v>
      </c>
      <c r="F16" s="11" t="s">
        <v>2271</v>
      </c>
      <c r="G16" s="11" t="s">
        <v>2272</v>
      </c>
      <c r="H16" s="8" t="s">
        <v>2265</v>
      </c>
      <c r="I16" s="11" t="s">
        <v>2273</v>
      </c>
    </row>
    <row r="17" customFormat="false" ht="23.85" hidden="false" customHeight="false" outlineLevel="0" collapsed="false">
      <c r="A17" s="8" t="n">
        <v>8</v>
      </c>
      <c r="B17" s="15" t="n">
        <v>46305</v>
      </c>
      <c r="C17" s="8" t="s">
        <v>151</v>
      </c>
      <c r="D17" s="8" t="n">
        <v>4</v>
      </c>
      <c r="E17" s="8" t="s">
        <v>2274</v>
      </c>
      <c r="F17" s="11" t="s">
        <v>2275</v>
      </c>
      <c r="G17" s="11" t="s">
        <v>2276</v>
      </c>
      <c r="H17" s="8" t="s">
        <v>2277</v>
      </c>
      <c r="I17" s="11" t="s">
        <v>2278</v>
      </c>
    </row>
    <row r="18" customFormat="false" ht="46.25" hidden="false" customHeight="false" outlineLevel="0" collapsed="false">
      <c r="A18" s="8" t="n">
        <v>8</v>
      </c>
      <c r="B18" s="15" t="n">
        <v>46305</v>
      </c>
      <c r="C18" s="8" t="s">
        <v>151</v>
      </c>
      <c r="D18" s="8" t="n">
        <v>5</v>
      </c>
      <c r="E18" s="8" t="s">
        <v>2227</v>
      </c>
      <c r="F18" s="11" t="s">
        <v>2279</v>
      </c>
      <c r="G18" s="11" t="s">
        <v>2280</v>
      </c>
      <c r="H18" s="8" t="s">
        <v>2220</v>
      </c>
      <c r="I18" s="11" t="s">
        <v>2281</v>
      </c>
    </row>
    <row r="19" customFormat="false" ht="23.85" hidden="false" customHeight="false" outlineLevel="0" collapsed="false">
      <c r="A19" s="8" t="n">
        <v>8</v>
      </c>
      <c r="B19" s="15" t="n">
        <v>46305</v>
      </c>
      <c r="C19" s="8" t="s">
        <v>151</v>
      </c>
      <c r="D19" s="8" t="n">
        <v>6</v>
      </c>
      <c r="E19" s="8" t="s">
        <v>2235</v>
      </c>
      <c r="F19" s="11" t="s">
        <v>2282</v>
      </c>
      <c r="G19" s="11" t="s">
        <v>2283</v>
      </c>
      <c r="H19" s="8" t="s">
        <v>2220</v>
      </c>
      <c r="I19" s="11" t="s">
        <v>2284</v>
      </c>
    </row>
    <row r="20" customFormat="false" ht="23.85" hidden="false" customHeight="false" outlineLevel="0" collapsed="false">
      <c r="A20" s="8" t="n">
        <v>10</v>
      </c>
      <c r="B20" s="15" t="n">
        <v>46306</v>
      </c>
      <c r="C20" s="8" t="s">
        <v>176</v>
      </c>
      <c r="D20" s="8" t="n">
        <v>1</v>
      </c>
      <c r="E20" s="8" t="s">
        <v>2285</v>
      </c>
      <c r="F20" s="11" t="s">
        <v>178</v>
      </c>
      <c r="G20" s="11" t="s">
        <v>2286</v>
      </c>
      <c r="H20" s="8" t="s">
        <v>2287</v>
      </c>
      <c r="I20" s="11" t="s">
        <v>2288</v>
      </c>
    </row>
    <row r="21" customFormat="false" ht="46.25" hidden="false" customHeight="false" outlineLevel="0" collapsed="false">
      <c r="A21" s="8" t="n">
        <v>10</v>
      </c>
      <c r="B21" s="15" t="n">
        <v>46306</v>
      </c>
      <c r="C21" s="8" t="s">
        <v>176</v>
      </c>
      <c r="D21" s="8" t="n">
        <v>2</v>
      </c>
      <c r="E21" s="8" t="s">
        <v>2289</v>
      </c>
      <c r="F21" s="11" t="s">
        <v>2290</v>
      </c>
      <c r="G21" s="11" t="s">
        <v>2291</v>
      </c>
      <c r="H21" s="8" t="s">
        <v>2220</v>
      </c>
      <c r="I21" s="11" t="s">
        <v>2292</v>
      </c>
    </row>
    <row r="22" customFormat="false" ht="23.85" hidden="false" customHeight="false" outlineLevel="0" collapsed="false">
      <c r="A22" s="8" t="n">
        <v>10</v>
      </c>
      <c r="B22" s="15" t="n">
        <v>46306</v>
      </c>
      <c r="C22" s="8" t="s">
        <v>176</v>
      </c>
      <c r="D22" s="8" t="n">
        <v>3</v>
      </c>
      <c r="E22" s="8" t="s">
        <v>2293</v>
      </c>
      <c r="F22" s="11" t="s">
        <v>2294</v>
      </c>
      <c r="G22" s="11" t="s">
        <v>2295</v>
      </c>
      <c r="H22" s="8" t="s">
        <v>2220</v>
      </c>
      <c r="I22" s="11" t="s">
        <v>2296</v>
      </c>
    </row>
    <row r="23" customFormat="false" ht="46.25" hidden="false" customHeight="false" outlineLevel="0" collapsed="false">
      <c r="A23" s="8" t="n">
        <v>10</v>
      </c>
      <c r="B23" s="15" t="n">
        <v>46306</v>
      </c>
      <c r="C23" s="8" t="s">
        <v>176</v>
      </c>
      <c r="D23" s="8" t="n">
        <v>4</v>
      </c>
      <c r="E23" s="8" t="s">
        <v>2297</v>
      </c>
      <c r="F23" s="11" t="s">
        <v>2298</v>
      </c>
      <c r="G23" s="11" t="s">
        <v>2299</v>
      </c>
      <c r="H23" s="8" t="s">
        <v>2300</v>
      </c>
      <c r="I23" s="11" t="s">
        <v>2301</v>
      </c>
    </row>
    <row r="24" customFormat="false" ht="23.85" hidden="false" customHeight="false" outlineLevel="0" collapsed="false">
      <c r="A24" s="8" t="n">
        <v>10</v>
      </c>
      <c r="B24" s="15" t="n">
        <v>46306</v>
      </c>
      <c r="C24" s="8" t="s">
        <v>176</v>
      </c>
      <c r="D24" s="8" t="n">
        <v>5</v>
      </c>
      <c r="E24" s="8" t="s">
        <v>2302</v>
      </c>
      <c r="F24" s="11" t="s">
        <v>2303</v>
      </c>
      <c r="G24" s="11" t="s">
        <v>2304</v>
      </c>
      <c r="H24" s="8" t="s">
        <v>2220</v>
      </c>
      <c r="I24" s="11" t="s">
        <v>2305</v>
      </c>
    </row>
    <row r="25" customFormat="false" ht="23.85" hidden="false" customHeight="false" outlineLevel="0" collapsed="false">
      <c r="A25" s="8" t="n">
        <v>10</v>
      </c>
      <c r="B25" s="15" t="n">
        <v>46306</v>
      </c>
      <c r="C25" s="8" t="s">
        <v>176</v>
      </c>
      <c r="D25" s="8" t="n">
        <v>6</v>
      </c>
      <c r="E25" s="8" t="s">
        <v>2235</v>
      </c>
      <c r="F25" s="11" t="s">
        <v>2306</v>
      </c>
      <c r="G25" s="11" t="s">
        <v>2307</v>
      </c>
      <c r="H25" s="8" t="s">
        <v>2220</v>
      </c>
      <c r="I25" s="11" t="s">
        <v>2308</v>
      </c>
    </row>
    <row r="26" customFormat="false" ht="23.85" hidden="false" customHeight="false" outlineLevel="0" collapsed="false">
      <c r="A26" s="8" t="n">
        <v>14</v>
      </c>
      <c r="B26" s="15" t="n">
        <v>46308</v>
      </c>
      <c r="C26" s="8" t="s">
        <v>222</v>
      </c>
      <c r="D26" s="8" t="n">
        <v>1</v>
      </c>
      <c r="E26" s="8" t="s">
        <v>2309</v>
      </c>
      <c r="F26" s="11" t="s">
        <v>224</v>
      </c>
      <c r="G26" s="11" t="s">
        <v>2310</v>
      </c>
      <c r="H26" s="8" t="s">
        <v>2311</v>
      </c>
      <c r="I26" s="11" t="s">
        <v>2312</v>
      </c>
    </row>
    <row r="27" customFormat="false" ht="35.05" hidden="false" customHeight="false" outlineLevel="0" collapsed="false">
      <c r="A27" s="8" t="n">
        <v>14</v>
      </c>
      <c r="B27" s="15" t="n">
        <v>46308</v>
      </c>
      <c r="C27" s="8" t="s">
        <v>222</v>
      </c>
      <c r="D27" s="8" t="n">
        <v>2</v>
      </c>
      <c r="E27" s="8" t="s">
        <v>2313</v>
      </c>
      <c r="F27" s="11" t="s">
        <v>2314</v>
      </c>
      <c r="G27" s="11" t="s">
        <v>2315</v>
      </c>
      <c r="H27" s="8" t="s">
        <v>2220</v>
      </c>
      <c r="I27" s="11" t="s">
        <v>2316</v>
      </c>
    </row>
    <row r="28" customFormat="false" ht="46.25" hidden="false" customHeight="false" outlineLevel="0" collapsed="false">
      <c r="A28" s="8" t="n">
        <v>14</v>
      </c>
      <c r="B28" s="15" t="n">
        <v>46308</v>
      </c>
      <c r="C28" s="8" t="s">
        <v>222</v>
      </c>
      <c r="D28" s="8" t="n">
        <v>3</v>
      </c>
      <c r="E28" s="8" t="s">
        <v>2317</v>
      </c>
      <c r="F28" s="11" t="s">
        <v>2318</v>
      </c>
      <c r="G28" s="11" t="s">
        <v>2319</v>
      </c>
      <c r="H28" s="8" t="s">
        <v>2320</v>
      </c>
      <c r="I28" s="11" t="s">
        <v>2321</v>
      </c>
    </row>
    <row r="29" customFormat="false" ht="23.85" hidden="false" customHeight="false" outlineLevel="0" collapsed="false">
      <c r="A29" s="8" t="n">
        <v>14</v>
      </c>
      <c r="B29" s="15" t="n">
        <v>46308</v>
      </c>
      <c r="C29" s="8" t="s">
        <v>222</v>
      </c>
      <c r="D29" s="8" t="n">
        <v>4</v>
      </c>
      <c r="E29" s="8" t="s">
        <v>2322</v>
      </c>
      <c r="F29" s="11" t="s">
        <v>2323</v>
      </c>
      <c r="G29" s="11" t="s">
        <v>2324</v>
      </c>
      <c r="H29" s="8" t="s">
        <v>2220</v>
      </c>
      <c r="I29" s="11" t="s">
        <v>2325</v>
      </c>
    </row>
    <row r="30" customFormat="false" ht="35.05" hidden="false" customHeight="false" outlineLevel="0" collapsed="false">
      <c r="A30" s="8" t="n">
        <v>14</v>
      </c>
      <c r="B30" s="15" t="n">
        <v>46308</v>
      </c>
      <c r="C30" s="8" t="s">
        <v>222</v>
      </c>
      <c r="D30" s="8" t="n">
        <v>5</v>
      </c>
      <c r="E30" s="8" t="s">
        <v>2326</v>
      </c>
      <c r="F30" s="11" t="s">
        <v>2327</v>
      </c>
      <c r="G30" s="11" t="s">
        <v>2328</v>
      </c>
      <c r="H30" s="8" t="s">
        <v>2311</v>
      </c>
      <c r="I30" s="11" t="s">
        <v>2329</v>
      </c>
    </row>
    <row r="31" customFormat="false" ht="23.85" hidden="false" customHeight="false" outlineLevel="0" collapsed="false">
      <c r="A31" s="8" t="n">
        <v>14</v>
      </c>
      <c r="B31" s="15" t="n">
        <v>46308</v>
      </c>
      <c r="C31" s="8" t="s">
        <v>222</v>
      </c>
      <c r="D31" s="8" t="n">
        <v>6</v>
      </c>
      <c r="E31" s="8" t="s">
        <v>2235</v>
      </c>
      <c r="F31" s="11" t="s">
        <v>2330</v>
      </c>
      <c r="G31" s="11" t="s">
        <v>2331</v>
      </c>
      <c r="H31" s="8" t="s">
        <v>2220</v>
      </c>
      <c r="I31" s="11" t="s">
        <v>2332</v>
      </c>
    </row>
    <row r="32" customFormat="false" ht="23.85" hidden="false" customHeight="false" outlineLevel="0" collapsed="false">
      <c r="A32" s="8" t="n">
        <v>15</v>
      </c>
      <c r="B32" s="15" t="n">
        <v>46309</v>
      </c>
      <c r="C32" s="8" t="s">
        <v>234</v>
      </c>
      <c r="D32" s="8" t="n">
        <v>1</v>
      </c>
      <c r="E32" s="8" t="s">
        <v>2333</v>
      </c>
      <c r="F32" s="11" t="s">
        <v>236</v>
      </c>
      <c r="G32" s="11" t="s">
        <v>2334</v>
      </c>
      <c r="H32" s="8" t="s">
        <v>242</v>
      </c>
      <c r="I32" s="11" t="s">
        <v>2335</v>
      </c>
    </row>
    <row r="33" customFormat="false" ht="23.85" hidden="false" customHeight="false" outlineLevel="0" collapsed="false">
      <c r="A33" s="8" t="n">
        <v>15</v>
      </c>
      <c r="B33" s="15" t="n">
        <v>46309</v>
      </c>
      <c r="C33" s="8" t="s">
        <v>234</v>
      </c>
      <c r="D33" s="8" t="n">
        <v>2</v>
      </c>
      <c r="E33" s="8" t="s">
        <v>2336</v>
      </c>
      <c r="F33" s="11" t="s">
        <v>2337</v>
      </c>
      <c r="G33" s="11" t="s">
        <v>2338</v>
      </c>
      <c r="H33" s="8" t="s">
        <v>2220</v>
      </c>
      <c r="I33" s="11" t="s">
        <v>2339</v>
      </c>
    </row>
    <row r="34" customFormat="false" ht="46.25" hidden="false" customHeight="false" outlineLevel="0" collapsed="false">
      <c r="A34" s="8" t="n">
        <v>15</v>
      </c>
      <c r="B34" s="15" t="n">
        <v>46309</v>
      </c>
      <c r="C34" s="8" t="s">
        <v>234</v>
      </c>
      <c r="D34" s="8" t="n">
        <v>3</v>
      </c>
      <c r="E34" s="8" t="s">
        <v>2340</v>
      </c>
      <c r="F34" s="11" t="s">
        <v>2341</v>
      </c>
      <c r="G34" s="11" t="s">
        <v>2342</v>
      </c>
      <c r="H34" s="8" t="s">
        <v>242</v>
      </c>
      <c r="I34" s="11" t="s">
        <v>2343</v>
      </c>
    </row>
    <row r="35" customFormat="false" ht="23.85" hidden="false" customHeight="false" outlineLevel="0" collapsed="false">
      <c r="A35" s="8" t="n">
        <v>15</v>
      </c>
      <c r="B35" s="15" t="n">
        <v>46309</v>
      </c>
      <c r="C35" s="8" t="s">
        <v>234</v>
      </c>
      <c r="D35" s="8" t="n">
        <v>4</v>
      </c>
      <c r="E35" s="8" t="s">
        <v>2344</v>
      </c>
      <c r="F35" s="11" t="s">
        <v>2345</v>
      </c>
      <c r="G35" s="11" t="s">
        <v>2346</v>
      </c>
      <c r="H35" s="8" t="s">
        <v>2220</v>
      </c>
      <c r="I35" s="11" t="s">
        <v>2347</v>
      </c>
    </row>
    <row r="36" customFormat="false" ht="23.85" hidden="false" customHeight="false" outlineLevel="0" collapsed="false">
      <c r="A36" s="8" t="n">
        <v>15</v>
      </c>
      <c r="B36" s="15" t="n">
        <v>46309</v>
      </c>
      <c r="C36" s="8" t="s">
        <v>234</v>
      </c>
      <c r="D36" s="8" t="n">
        <v>5</v>
      </c>
      <c r="E36" s="8" t="s">
        <v>2348</v>
      </c>
      <c r="F36" s="11" t="s">
        <v>2349</v>
      </c>
      <c r="G36" s="11" t="s">
        <v>2350</v>
      </c>
      <c r="H36" s="8" t="s">
        <v>2220</v>
      </c>
      <c r="I36" s="11" t="s">
        <v>2351</v>
      </c>
    </row>
    <row r="37" customFormat="false" ht="23.85" hidden="false" customHeight="false" outlineLevel="0" collapsed="false">
      <c r="A37" s="8" t="n">
        <v>15</v>
      </c>
      <c r="B37" s="15" t="n">
        <v>46309</v>
      </c>
      <c r="C37" s="8" t="s">
        <v>234</v>
      </c>
      <c r="D37" s="8" t="n">
        <v>6</v>
      </c>
      <c r="E37" s="8" t="s">
        <v>2352</v>
      </c>
      <c r="F37" s="11" t="s">
        <v>2353</v>
      </c>
      <c r="G37" s="11" t="s">
        <v>2354</v>
      </c>
      <c r="H37" s="8" t="s">
        <v>2220</v>
      </c>
      <c r="I37" s="11" t="s">
        <v>2355</v>
      </c>
    </row>
    <row r="38" customFormat="false" ht="23.85" hidden="false" customHeight="false" outlineLevel="0" collapsed="false">
      <c r="A38" s="8" t="n">
        <v>17</v>
      </c>
      <c r="B38" s="15" t="n">
        <v>46310</v>
      </c>
      <c r="C38" s="8" t="s">
        <v>256</v>
      </c>
      <c r="D38" s="8" t="n">
        <v>1</v>
      </c>
      <c r="E38" s="8" t="s">
        <v>2356</v>
      </c>
      <c r="F38" s="11" t="s">
        <v>258</v>
      </c>
      <c r="G38" s="11" t="s">
        <v>2357</v>
      </c>
      <c r="H38" s="8" t="s">
        <v>2358</v>
      </c>
      <c r="I38" s="11" t="s">
        <v>2359</v>
      </c>
    </row>
    <row r="39" customFormat="false" ht="46.25" hidden="false" customHeight="false" outlineLevel="0" collapsed="false">
      <c r="A39" s="8" t="n">
        <v>17</v>
      </c>
      <c r="B39" s="15" t="n">
        <v>46310</v>
      </c>
      <c r="C39" s="8" t="s">
        <v>256</v>
      </c>
      <c r="D39" s="8" t="n">
        <v>2</v>
      </c>
      <c r="E39" s="8" t="s">
        <v>2360</v>
      </c>
      <c r="F39" s="11" t="s">
        <v>2361</v>
      </c>
      <c r="G39" s="11" t="s">
        <v>2362</v>
      </c>
      <c r="H39" s="8" t="s">
        <v>2220</v>
      </c>
      <c r="I39" s="11" t="s">
        <v>2363</v>
      </c>
    </row>
    <row r="40" customFormat="false" ht="23.85" hidden="false" customHeight="false" outlineLevel="0" collapsed="false">
      <c r="A40" s="8" t="n">
        <v>17</v>
      </c>
      <c r="B40" s="15" t="n">
        <v>46310</v>
      </c>
      <c r="C40" s="8" t="s">
        <v>256</v>
      </c>
      <c r="D40" s="8" t="n">
        <v>3</v>
      </c>
      <c r="E40" s="8" t="s">
        <v>2364</v>
      </c>
      <c r="F40" s="11" t="s">
        <v>2365</v>
      </c>
      <c r="G40" s="11" t="s">
        <v>2366</v>
      </c>
      <c r="H40" s="8" t="s">
        <v>2367</v>
      </c>
      <c r="I40" s="11" t="s">
        <v>2368</v>
      </c>
    </row>
    <row r="41" customFormat="false" ht="35.05" hidden="false" customHeight="false" outlineLevel="0" collapsed="false">
      <c r="A41" s="8" t="n">
        <v>17</v>
      </c>
      <c r="B41" s="15" t="n">
        <v>46310</v>
      </c>
      <c r="C41" s="8" t="s">
        <v>256</v>
      </c>
      <c r="D41" s="8" t="n">
        <v>4</v>
      </c>
      <c r="E41" s="8" t="s">
        <v>2369</v>
      </c>
      <c r="F41" s="11" t="s">
        <v>2370</v>
      </c>
      <c r="G41" s="11" t="s">
        <v>2371</v>
      </c>
      <c r="H41" s="8" t="s">
        <v>2220</v>
      </c>
      <c r="I41" s="11" t="s">
        <v>2372</v>
      </c>
    </row>
    <row r="42" customFormat="false" ht="35.05" hidden="false" customHeight="false" outlineLevel="0" collapsed="false">
      <c r="A42" s="8" t="n">
        <v>17</v>
      </c>
      <c r="B42" s="15" t="n">
        <v>46310</v>
      </c>
      <c r="C42" s="8" t="s">
        <v>256</v>
      </c>
      <c r="D42" s="8" t="n">
        <v>5</v>
      </c>
      <c r="E42" s="8" t="s">
        <v>2373</v>
      </c>
      <c r="F42" s="11" t="s">
        <v>2374</v>
      </c>
      <c r="G42" s="11" t="s">
        <v>2375</v>
      </c>
      <c r="H42" s="8" t="s">
        <v>2220</v>
      </c>
      <c r="I42" s="11" t="s">
        <v>2376</v>
      </c>
    </row>
    <row r="43" customFormat="false" ht="23.85" hidden="false" customHeight="false" outlineLevel="0" collapsed="false">
      <c r="A43" s="8" t="n">
        <v>17</v>
      </c>
      <c r="B43" s="15" t="n">
        <v>46310</v>
      </c>
      <c r="C43" s="8" t="s">
        <v>256</v>
      </c>
      <c r="D43" s="8" t="n">
        <v>6</v>
      </c>
      <c r="E43" s="8" t="s">
        <v>2377</v>
      </c>
      <c r="F43" s="11" t="s">
        <v>2378</v>
      </c>
      <c r="G43" s="11" t="s">
        <v>2379</v>
      </c>
      <c r="H43" s="8" t="s">
        <v>2220</v>
      </c>
      <c r="I43" s="11" t="s">
        <v>2380</v>
      </c>
    </row>
    <row r="44" customFormat="false" ht="23.85" hidden="false" customHeight="false" outlineLevel="0" collapsed="false">
      <c r="A44" s="8" t="n">
        <v>19</v>
      </c>
      <c r="B44" s="15" t="n">
        <v>46311</v>
      </c>
      <c r="C44" s="8" t="s">
        <v>278</v>
      </c>
      <c r="D44" s="8" t="n">
        <v>1</v>
      </c>
      <c r="E44" s="8" t="s">
        <v>2381</v>
      </c>
      <c r="F44" s="11" t="s">
        <v>280</v>
      </c>
      <c r="G44" s="11" t="s">
        <v>2382</v>
      </c>
      <c r="H44" s="8" t="s">
        <v>286</v>
      </c>
      <c r="I44" s="11" t="s">
        <v>2383</v>
      </c>
    </row>
    <row r="45" customFormat="false" ht="35.05" hidden="false" customHeight="false" outlineLevel="0" collapsed="false">
      <c r="A45" s="8" t="n">
        <v>19</v>
      </c>
      <c r="B45" s="15" t="n">
        <v>46311</v>
      </c>
      <c r="C45" s="8" t="s">
        <v>278</v>
      </c>
      <c r="D45" s="8" t="n">
        <v>2</v>
      </c>
      <c r="E45" s="8" t="s">
        <v>2384</v>
      </c>
      <c r="F45" s="11" t="s">
        <v>2385</v>
      </c>
      <c r="G45" s="11" t="s">
        <v>2386</v>
      </c>
      <c r="H45" s="8" t="s">
        <v>2220</v>
      </c>
      <c r="I45" s="11" t="s">
        <v>2387</v>
      </c>
    </row>
    <row r="46" customFormat="false" ht="23.85" hidden="false" customHeight="false" outlineLevel="0" collapsed="false">
      <c r="A46" s="8" t="n">
        <v>19</v>
      </c>
      <c r="B46" s="15" t="n">
        <v>46311</v>
      </c>
      <c r="C46" s="8" t="s">
        <v>278</v>
      </c>
      <c r="D46" s="8" t="n">
        <v>3</v>
      </c>
      <c r="E46" s="8" t="s">
        <v>2388</v>
      </c>
      <c r="F46" s="11" t="s">
        <v>2389</v>
      </c>
      <c r="G46" s="11" t="s">
        <v>2390</v>
      </c>
      <c r="H46" s="8" t="s">
        <v>2220</v>
      </c>
      <c r="I46" s="11" t="s">
        <v>2391</v>
      </c>
    </row>
    <row r="47" customFormat="false" ht="23.85" hidden="false" customHeight="false" outlineLevel="0" collapsed="false">
      <c r="A47" s="8" t="n">
        <v>19</v>
      </c>
      <c r="B47" s="15" t="n">
        <v>46311</v>
      </c>
      <c r="C47" s="8" t="s">
        <v>278</v>
      </c>
      <c r="D47" s="8" t="n">
        <v>4</v>
      </c>
      <c r="E47" s="8" t="s">
        <v>2392</v>
      </c>
      <c r="F47" s="11" t="s">
        <v>2393</v>
      </c>
      <c r="G47" s="11" t="s">
        <v>2394</v>
      </c>
      <c r="H47" s="8" t="s">
        <v>286</v>
      </c>
      <c r="I47" s="11" t="s">
        <v>2395</v>
      </c>
    </row>
    <row r="48" customFormat="false" ht="46.25" hidden="false" customHeight="false" outlineLevel="0" collapsed="false">
      <c r="A48" s="8" t="n">
        <v>19</v>
      </c>
      <c r="B48" s="15" t="n">
        <v>46311</v>
      </c>
      <c r="C48" s="8" t="s">
        <v>278</v>
      </c>
      <c r="D48" s="8" t="n">
        <v>5</v>
      </c>
      <c r="E48" s="8" t="s">
        <v>2396</v>
      </c>
      <c r="F48" s="11" t="s">
        <v>2397</v>
      </c>
      <c r="G48" s="11" t="s">
        <v>2398</v>
      </c>
      <c r="H48" s="8" t="s">
        <v>2220</v>
      </c>
      <c r="I48" s="11" t="s">
        <v>2399</v>
      </c>
    </row>
    <row r="49" customFormat="false" ht="23.85" hidden="false" customHeight="false" outlineLevel="0" collapsed="false">
      <c r="A49" s="8" t="n">
        <v>19</v>
      </c>
      <c r="B49" s="15" t="n">
        <v>46311</v>
      </c>
      <c r="C49" s="8" t="s">
        <v>278</v>
      </c>
      <c r="D49" s="8" t="n">
        <v>6</v>
      </c>
      <c r="E49" s="8" t="s">
        <v>2235</v>
      </c>
      <c r="F49" s="11" t="s">
        <v>2400</v>
      </c>
      <c r="G49" s="11" t="s">
        <v>2401</v>
      </c>
      <c r="H49" s="8" t="s">
        <v>2220</v>
      </c>
      <c r="I49" s="11" t="s">
        <v>2402</v>
      </c>
    </row>
    <row r="50" customFormat="false" ht="23.85" hidden="false" customHeight="false" outlineLevel="0" collapsed="false">
      <c r="A50" s="8" t="n">
        <v>24</v>
      </c>
      <c r="B50" s="15" t="n">
        <v>46313</v>
      </c>
      <c r="C50" s="8" t="s">
        <v>331</v>
      </c>
      <c r="D50" s="8" t="n">
        <v>1</v>
      </c>
      <c r="E50" s="8" t="s">
        <v>2403</v>
      </c>
      <c r="F50" s="11" t="s">
        <v>333</v>
      </c>
      <c r="G50" s="11" t="s">
        <v>2404</v>
      </c>
      <c r="H50" s="8" t="s">
        <v>338</v>
      </c>
      <c r="I50" s="11" t="s">
        <v>2405</v>
      </c>
    </row>
    <row r="51" customFormat="false" ht="23.85" hidden="false" customHeight="false" outlineLevel="0" collapsed="false">
      <c r="A51" s="8" t="n">
        <v>24</v>
      </c>
      <c r="B51" s="15" t="n">
        <v>46313</v>
      </c>
      <c r="C51" s="8" t="s">
        <v>331</v>
      </c>
      <c r="D51" s="8" t="n">
        <v>2</v>
      </c>
      <c r="E51" s="8" t="s">
        <v>2406</v>
      </c>
      <c r="F51" s="11" t="s">
        <v>2407</v>
      </c>
      <c r="G51" s="11" t="s">
        <v>2408</v>
      </c>
      <c r="H51" s="8" t="s">
        <v>2220</v>
      </c>
      <c r="I51" s="11" t="s">
        <v>2409</v>
      </c>
    </row>
    <row r="52" customFormat="false" ht="23.85" hidden="false" customHeight="false" outlineLevel="0" collapsed="false">
      <c r="A52" s="8" t="n">
        <v>24</v>
      </c>
      <c r="B52" s="15" t="n">
        <v>46313</v>
      </c>
      <c r="C52" s="8" t="s">
        <v>331</v>
      </c>
      <c r="D52" s="8" t="n">
        <v>3</v>
      </c>
      <c r="E52" s="8" t="s">
        <v>2410</v>
      </c>
      <c r="F52" s="11" t="s">
        <v>2411</v>
      </c>
      <c r="G52" s="11" t="s">
        <v>2412</v>
      </c>
      <c r="H52" s="8" t="s">
        <v>2220</v>
      </c>
      <c r="I52" s="11" t="s">
        <v>2413</v>
      </c>
    </row>
    <row r="53" customFormat="false" ht="23.85" hidden="false" customHeight="false" outlineLevel="0" collapsed="false">
      <c r="A53" s="8" t="n">
        <v>24</v>
      </c>
      <c r="B53" s="15" t="n">
        <v>46313</v>
      </c>
      <c r="C53" s="8" t="s">
        <v>331</v>
      </c>
      <c r="D53" s="8" t="n">
        <v>4</v>
      </c>
      <c r="E53" s="8" t="s">
        <v>2414</v>
      </c>
      <c r="F53" s="11" t="s">
        <v>2415</v>
      </c>
      <c r="G53" s="11" t="s">
        <v>2416</v>
      </c>
      <c r="H53" s="8" t="s">
        <v>338</v>
      </c>
      <c r="I53" s="11" t="s">
        <v>2417</v>
      </c>
    </row>
    <row r="54" customFormat="false" ht="46.25" hidden="false" customHeight="false" outlineLevel="0" collapsed="false">
      <c r="A54" s="8" t="n">
        <v>24</v>
      </c>
      <c r="B54" s="15" t="n">
        <v>46313</v>
      </c>
      <c r="C54" s="8" t="s">
        <v>331</v>
      </c>
      <c r="D54" s="8" t="n">
        <v>5</v>
      </c>
      <c r="E54" s="8" t="s">
        <v>2418</v>
      </c>
      <c r="F54" s="11" t="s">
        <v>2419</v>
      </c>
      <c r="G54" s="11" t="s">
        <v>2420</v>
      </c>
      <c r="H54" s="8" t="s">
        <v>2220</v>
      </c>
      <c r="I54" s="11" t="s">
        <v>2421</v>
      </c>
    </row>
    <row r="55" customFormat="false" ht="23.85" hidden="false" customHeight="false" outlineLevel="0" collapsed="false">
      <c r="A55" s="8" t="n">
        <v>24</v>
      </c>
      <c r="B55" s="15" t="n">
        <v>46313</v>
      </c>
      <c r="C55" s="8" t="s">
        <v>331</v>
      </c>
      <c r="D55" s="8" t="n">
        <v>6</v>
      </c>
      <c r="E55" s="8" t="s">
        <v>2235</v>
      </c>
      <c r="F55" s="11" t="s">
        <v>2422</v>
      </c>
      <c r="G55" s="11" t="s">
        <v>2423</v>
      </c>
      <c r="H55" s="8" t="s">
        <v>2220</v>
      </c>
      <c r="I55" s="11" t="s">
        <v>2424</v>
      </c>
    </row>
    <row r="56" customFormat="false" ht="23.85" hidden="false" customHeight="false" outlineLevel="0" collapsed="false">
      <c r="A56" s="8" t="n">
        <v>26</v>
      </c>
      <c r="B56" s="15" t="n">
        <v>46314</v>
      </c>
      <c r="C56" s="8" t="s">
        <v>349</v>
      </c>
      <c r="D56" s="8" t="n">
        <v>1</v>
      </c>
      <c r="E56" s="8" t="s">
        <v>359</v>
      </c>
      <c r="F56" s="11" t="s">
        <v>351</v>
      </c>
      <c r="G56" s="11" t="s">
        <v>2425</v>
      </c>
      <c r="H56" s="8" t="s">
        <v>2426</v>
      </c>
      <c r="I56" s="11" t="s">
        <v>2427</v>
      </c>
    </row>
    <row r="57" customFormat="false" ht="23.85" hidden="false" customHeight="false" outlineLevel="0" collapsed="false">
      <c r="A57" s="8" t="n">
        <v>26</v>
      </c>
      <c r="B57" s="15" t="n">
        <v>46314</v>
      </c>
      <c r="C57" s="8" t="s">
        <v>349</v>
      </c>
      <c r="D57" s="8" t="n">
        <v>2</v>
      </c>
      <c r="E57" s="8" t="s">
        <v>2217</v>
      </c>
      <c r="F57" s="11" t="s">
        <v>2428</v>
      </c>
      <c r="G57" s="11" t="s">
        <v>2429</v>
      </c>
      <c r="H57" s="8" t="s">
        <v>2220</v>
      </c>
      <c r="I57" s="11" t="s">
        <v>2430</v>
      </c>
    </row>
    <row r="58" customFormat="false" ht="35.05" hidden="false" customHeight="false" outlineLevel="0" collapsed="false">
      <c r="A58" s="8" t="n">
        <v>26</v>
      </c>
      <c r="B58" s="15" t="n">
        <v>46314</v>
      </c>
      <c r="C58" s="8" t="s">
        <v>349</v>
      </c>
      <c r="D58" s="8" t="n">
        <v>3</v>
      </c>
      <c r="E58" s="8" t="s">
        <v>2431</v>
      </c>
      <c r="F58" s="11" t="s">
        <v>2432</v>
      </c>
      <c r="G58" s="11" t="s">
        <v>2433</v>
      </c>
      <c r="H58" s="8" t="s">
        <v>2434</v>
      </c>
      <c r="I58" s="11" t="s">
        <v>2435</v>
      </c>
    </row>
    <row r="59" customFormat="false" ht="46.25" hidden="false" customHeight="false" outlineLevel="0" collapsed="false">
      <c r="A59" s="8" t="n">
        <v>26</v>
      </c>
      <c r="B59" s="15" t="n">
        <v>46314</v>
      </c>
      <c r="C59" s="8" t="s">
        <v>349</v>
      </c>
      <c r="D59" s="8" t="n">
        <v>4</v>
      </c>
      <c r="E59" s="8" t="s">
        <v>2436</v>
      </c>
      <c r="F59" s="11" t="s">
        <v>2437</v>
      </c>
      <c r="G59" s="11" t="s">
        <v>2438</v>
      </c>
      <c r="H59" s="8" t="s">
        <v>2220</v>
      </c>
      <c r="I59" s="11" t="s">
        <v>2439</v>
      </c>
    </row>
    <row r="60" customFormat="false" ht="23.85" hidden="false" customHeight="false" outlineLevel="0" collapsed="false">
      <c r="A60" s="8" t="n">
        <v>26</v>
      </c>
      <c r="B60" s="15" t="n">
        <v>46314</v>
      </c>
      <c r="C60" s="8" t="s">
        <v>349</v>
      </c>
      <c r="D60" s="8" t="n">
        <v>5</v>
      </c>
      <c r="E60" s="8" t="s">
        <v>2440</v>
      </c>
      <c r="F60" s="11" t="s">
        <v>2441</v>
      </c>
      <c r="G60" s="11" t="s">
        <v>2442</v>
      </c>
      <c r="H60" s="8" t="s">
        <v>2220</v>
      </c>
      <c r="I60" s="11" t="s">
        <v>2443</v>
      </c>
    </row>
    <row r="61" customFormat="false" ht="23.85" hidden="false" customHeight="false" outlineLevel="0" collapsed="false">
      <c r="A61" s="8" t="n">
        <v>26</v>
      </c>
      <c r="B61" s="15" t="n">
        <v>46314</v>
      </c>
      <c r="C61" s="8" t="s">
        <v>349</v>
      </c>
      <c r="D61" s="8" t="n">
        <v>6</v>
      </c>
      <c r="E61" s="8" t="s">
        <v>2235</v>
      </c>
      <c r="F61" s="11" t="s">
        <v>2444</v>
      </c>
      <c r="G61" s="11" t="s">
        <v>2445</v>
      </c>
      <c r="H61" s="8" t="s">
        <v>2220</v>
      </c>
      <c r="I61" s="11" t="s">
        <v>2446</v>
      </c>
    </row>
    <row r="62" customFormat="false" ht="23.85" hidden="false" customHeight="false" outlineLevel="0" collapsed="false">
      <c r="A62" s="8" t="n">
        <v>29</v>
      </c>
      <c r="B62" s="15" t="n">
        <v>46316</v>
      </c>
      <c r="C62" s="8" t="s">
        <v>383</v>
      </c>
      <c r="D62" s="8" t="n">
        <v>1</v>
      </c>
      <c r="E62" s="8" t="s">
        <v>2447</v>
      </c>
      <c r="F62" s="11" t="s">
        <v>385</v>
      </c>
      <c r="G62" s="11" t="s">
        <v>2448</v>
      </c>
      <c r="H62" s="8" t="s">
        <v>391</v>
      </c>
      <c r="I62" s="11" t="s">
        <v>2449</v>
      </c>
    </row>
    <row r="63" customFormat="false" ht="46.25" hidden="false" customHeight="false" outlineLevel="0" collapsed="false">
      <c r="A63" s="8" t="n">
        <v>29</v>
      </c>
      <c r="B63" s="15" t="n">
        <v>46316</v>
      </c>
      <c r="C63" s="8" t="s">
        <v>383</v>
      </c>
      <c r="D63" s="8" t="n">
        <v>2</v>
      </c>
      <c r="E63" s="8" t="s">
        <v>2450</v>
      </c>
      <c r="F63" s="11" t="s">
        <v>2451</v>
      </c>
      <c r="G63" s="11" t="s">
        <v>2452</v>
      </c>
      <c r="H63" s="8" t="s">
        <v>2220</v>
      </c>
      <c r="I63" s="11" t="s">
        <v>2453</v>
      </c>
    </row>
    <row r="64" customFormat="false" ht="23.85" hidden="false" customHeight="false" outlineLevel="0" collapsed="false">
      <c r="A64" s="8" t="n">
        <v>29</v>
      </c>
      <c r="B64" s="15" t="n">
        <v>46316</v>
      </c>
      <c r="C64" s="8" t="s">
        <v>383</v>
      </c>
      <c r="D64" s="8" t="n">
        <v>3</v>
      </c>
      <c r="E64" s="8" t="s">
        <v>2454</v>
      </c>
      <c r="F64" s="11" t="s">
        <v>2455</v>
      </c>
      <c r="G64" s="11" t="s">
        <v>2456</v>
      </c>
      <c r="H64" s="8" t="s">
        <v>391</v>
      </c>
      <c r="I64" s="11" t="s">
        <v>2457</v>
      </c>
    </row>
    <row r="65" customFormat="false" ht="23.85" hidden="false" customHeight="false" outlineLevel="0" collapsed="false">
      <c r="A65" s="8" t="n">
        <v>29</v>
      </c>
      <c r="B65" s="15" t="n">
        <v>46316</v>
      </c>
      <c r="C65" s="8" t="s">
        <v>383</v>
      </c>
      <c r="D65" s="8" t="n">
        <v>4</v>
      </c>
      <c r="E65" s="8" t="s">
        <v>2458</v>
      </c>
      <c r="F65" s="11" t="s">
        <v>2459</v>
      </c>
      <c r="G65" s="11" t="s">
        <v>2460</v>
      </c>
      <c r="H65" s="8" t="s">
        <v>2220</v>
      </c>
      <c r="I65" s="11" t="s">
        <v>2461</v>
      </c>
    </row>
    <row r="66" customFormat="false" ht="46.25" hidden="false" customHeight="false" outlineLevel="0" collapsed="false">
      <c r="A66" s="8" t="n">
        <v>29</v>
      </c>
      <c r="B66" s="15" t="n">
        <v>46316</v>
      </c>
      <c r="C66" s="8" t="s">
        <v>383</v>
      </c>
      <c r="D66" s="8" t="n">
        <v>5</v>
      </c>
      <c r="E66" s="8" t="s">
        <v>2462</v>
      </c>
      <c r="F66" s="11" t="s">
        <v>2463</v>
      </c>
      <c r="G66" s="11" t="s">
        <v>2464</v>
      </c>
      <c r="H66" s="8" t="s">
        <v>2220</v>
      </c>
      <c r="I66" s="11" t="s">
        <v>2465</v>
      </c>
    </row>
    <row r="67" customFormat="false" ht="23.85" hidden="false" customHeight="false" outlineLevel="0" collapsed="false">
      <c r="A67" s="8" t="n">
        <v>29</v>
      </c>
      <c r="B67" s="15" t="n">
        <v>46316</v>
      </c>
      <c r="C67" s="8" t="s">
        <v>383</v>
      </c>
      <c r="D67" s="8" t="n">
        <v>6</v>
      </c>
      <c r="E67" s="8" t="s">
        <v>2235</v>
      </c>
      <c r="F67" s="11" t="s">
        <v>2466</v>
      </c>
      <c r="G67" s="11" t="s">
        <v>2467</v>
      </c>
      <c r="H67" s="8" t="s">
        <v>2220</v>
      </c>
      <c r="I67" s="11" t="s">
        <v>2468</v>
      </c>
    </row>
    <row r="68" customFormat="false" ht="23.85" hidden="false" customHeight="false" outlineLevel="0" collapsed="false">
      <c r="A68" s="8" t="n">
        <v>30</v>
      </c>
      <c r="B68" s="15" t="n">
        <v>46316</v>
      </c>
      <c r="C68" s="8" t="s">
        <v>394</v>
      </c>
      <c r="D68" s="8" t="n">
        <v>1</v>
      </c>
      <c r="E68" s="8" t="s">
        <v>2469</v>
      </c>
      <c r="F68" s="11" t="s">
        <v>396</v>
      </c>
      <c r="G68" s="11" t="s">
        <v>2470</v>
      </c>
      <c r="H68" s="8" t="s">
        <v>2471</v>
      </c>
      <c r="I68" s="11" t="s">
        <v>2472</v>
      </c>
    </row>
    <row r="69" customFormat="false" ht="23.85" hidden="false" customHeight="false" outlineLevel="0" collapsed="false">
      <c r="A69" s="8" t="n">
        <v>30</v>
      </c>
      <c r="B69" s="15" t="n">
        <v>46316</v>
      </c>
      <c r="C69" s="8" t="s">
        <v>394</v>
      </c>
      <c r="D69" s="8" t="n">
        <v>2</v>
      </c>
      <c r="E69" s="8" t="s">
        <v>2473</v>
      </c>
      <c r="F69" s="11" t="s">
        <v>2474</v>
      </c>
      <c r="G69" s="11" t="s">
        <v>2475</v>
      </c>
      <c r="H69" s="8" t="s">
        <v>2220</v>
      </c>
      <c r="I69" s="11" t="s">
        <v>2476</v>
      </c>
    </row>
    <row r="70" customFormat="false" ht="23.85" hidden="false" customHeight="false" outlineLevel="0" collapsed="false">
      <c r="A70" s="8" t="n">
        <v>30</v>
      </c>
      <c r="B70" s="15" t="n">
        <v>46316</v>
      </c>
      <c r="C70" s="8" t="s">
        <v>394</v>
      </c>
      <c r="D70" s="8" t="n">
        <v>3</v>
      </c>
      <c r="E70" s="8" t="s">
        <v>2477</v>
      </c>
      <c r="F70" s="11" t="s">
        <v>2478</v>
      </c>
      <c r="G70" s="11" t="s">
        <v>2479</v>
      </c>
      <c r="H70" s="8" t="s">
        <v>2220</v>
      </c>
      <c r="I70" s="11" t="s">
        <v>2480</v>
      </c>
    </row>
    <row r="71" customFormat="false" ht="35.05" hidden="false" customHeight="false" outlineLevel="0" collapsed="false">
      <c r="A71" s="8" t="n">
        <v>30</v>
      </c>
      <c r="B71" s="15" t="n">
        <v>46316</v>
      </c>
      <c r="C71" s="8" t="s">
        <v>394</v>
      </c>
      <c r="D71" s="8" t="n">
        <v>4</v>
      </c>
      <c r="E71" s="8" t="s">
        <v>2481</v>
      </c>
      <c r="F71" s="11" t="s">
        <v>2482</v>
      </c>
      <c r="G71" s="11" t="s">
        <v>2483</v>
      </c>
      <c r="H71" s="8" t="s">
        <v>2484</v>
      </c>
      <c r="I71" s="11" t="s">
        <v>2485</v>
      </c>
    </row>
    <row r="72" customFormat="false" ht="46.25" hidden="false" customHeight="false" outlineLevel="0" collapsed="false">
      <c r="A72" s="8" t="n">
        <v>30</v>
      </c>
      <c r="B72" s="15" t="n">
        <v>46316</v>
      </c>
      <c r="C72" s="8" t="s">
        <v>394</v>
      </c>
      <c r="D72" s="8" t="n">
        <v>5</v>
      </c>
      <c r="E72" s="8" t="s">
        <v>2486</v>
      </c>
      <c r="F72" s="11" t="s">
        <v>2487</v>
      </c>
      <c r="G72" s="11" t="s">
        <v>2488</v>
      </c>
      <c r="H72" s="8" t="s">
        <v>2220</v>
      </c>
      <c r="I72" s="11" t="s">
        <v>2489</v>
      </c>
    </row>
    <row r="73" customFormat="false" ht="23.85" hidden="false" customHeight="false" outlineLevel="0" collapsed="false">
      <c r="A73" s="8" t="n">
        <v>30</v>
      </c>
      <c r="B73" s="15" t="n">
        <v>46316</v>
      </c>
      <c r="C73" s="8" t="s">
        <v>394</v>
      </c>
      <c r="D73" s="8" t="n">
        <v>6</v>
      </c>
      <c r="E73" s="8" t="s">
        <v>2235</v>
      </c>
      <c r="F73" s="11" t="s">
        <v>2490</v>
      </c>
      <c r="G73" s="11" t="s">
        <v>2491</v>
      </c>
      <c r="H73" s="8" t="s">
        <v>2220</v>
      </c>
      <c r="I73" s="11" t="s">
        <v>2492</v>
      </c>
    </row>
    <row r="74" customFormat="false" ht="23.85" hidden="false" customHeight="false" outlineLevel="0" collapsed="false">
      <c r="A74" s="8" t="n">
        <v>32</v>
      </c>
      <c r="B74" s="15" t="n">
        <v>46317</v>
      </c>
      <c r="C74" s="8" t="s">
        <v>418</v>
      </c>
      <c r="D74" s="8" t="n">
        <v>1</v>
      </c>
      <c r="E74" s="8" t="s">
        <v>2493</v>
      </c>
      <c r="F74" s="11" t="s">
        <v>420</v>
      </c>
      <c r="G74" s="11" t="s">
        <v>2494</v>
      </c>
      <c r="H74" s="8" t="s">
        <v>426</v>
      </c>
      <c r="I74" s="11" t="s">
        <v>2495</v>
      </c>
    </row>
    <row r="75" customFormat="false" ht="23.85" hidden="false" customHeight="false" outlineLevel="0" collapsed="false">
      <c r="A75" s="8" t="n">
        <v>32</v>
      </c>
      <c r="B75" s="15" t="n">
        <v>46317</v>
      </c>
      <c r="C75" s="8" t="s">
        <v>418</v>
      </c>
      <c r="D75" s="8" t="n">
        <v>2</v>
      </c>
      <c r="E75" s="8" t="s">
        <v>2496</v>
      </c>
      <c r="F75" s="11" t="s">
        <v>2497</v>
      </c>
      <c r="G75" s="11" t="s">
        <v>2498</v>
      </c>
      <c r="H75" s="8" t="s">
        <v>2220</v>
      </c>
      <c r="I75" s="11" t="s">
        <v>2499</v>
      </c>
    </row>
    <row r="76" customFormat="false" ht="46.25" hidden="false" customHeight="false" outlineLevel="0" collapsed="false">
      <c r="A76" s="8" t="n">
        <v>32</v>
      </c>
      <c r="B76" s="15" t="n">
        <v>46317</v>
      </c>
      <c r="C76" s="8" t="s">
        <v>418</v>
      </c>
      <c r="D76" s="8" t="n">
        <v>3</v>
      </c>
      <c r="E76" s="8" t="s">
        <v>2500</v>
      </c>
      <c r="F76" s="11" t="s">
        <v>2501</v>
      </c>
      <c r="G76" s="11" t="s">
        <v>2502</v>
      </c>
      <c r="H76" s="8" t="s">
        <v>426</v>
      </c>
      <c r="I76" s="11" t="s">
        <v>2503</v>
      </c>
    </row>
    <row r="77" customFormat="false" ht="23.85" hidden="false" customHeight="false" outlineLevel="0" collapsed="false">
      <c r="A77" s="8" t="n">
        <v>32</v>
      </c>
      <c r="B77" s="15" t="n">
        <v>46317</v>
      </c>
      <c r="C77" s="8" t="s">
        <v>418</v>
      </c>
      <c r="D77" s="8" t="n">
        <v>4</v>
      </c>
      <c r="E77" s="8" t="s">
        <v>2504</v>
      </c>
      <c r="F77" s="11" t="s">
        <v>2505</v>
      </c>
      <c r="G77" s="11" t="s">
        <v>2506</v>
      </c>
      <c r="H77" s="8" t="s">
        <v>2220</v>
      </c>
      <c r="I77" s="11" t="s">
        <v>2507</v>
      </c>
    </row>
    <row r="78" customFormat="false" ht="35.05" hidden="false" customHeight="false" outlineLevel="0" collapsed="false">
      <c r="A78" s="8" t="n">
        <v>32</v>
      </c>
      <c r="B78" s="15" t="n">
        <v>46317</v>
      </c>
      <c r="C78" s="8" t="s">
        <v>418</v>
      </c>
      <c r="D78" s="8" t="n">
        <v>5</v>
      </c>
      <c r="E78" s="8" t="s">
        <v>2508</v>
      </c>
      <c r="F78" s="11" t="s">
        <v>2509</v>
      </c>
      <c r="G78" s="11" t="s">
        <v>2510</v>
      </c>
      <c r="H78" s="8" t="s">
        <v>2220</v>
      </c>
      <c r="I78" s="11" t="s">
        <v>2511</v>
      </c>
    </row>
    <row r="79" customFormat="false" ht="23.85" hidden="false" customHeight="false" outlineLevel="0" collapsed="false">
      <c r="A79" s="8" t="n">
        <v>32</v>
      </c>
      <c r="B79" s="15" t="n">
        <v>46317</v>
      </c>
      <c r="C79" s="8" t="s">
        <v>418</v>
      </c>
      <c r="D79" s="8" t="n">
        <v>6</v>
      </c>
      <c r="E79" s="8" t="s">
        <v>2235</v>
      </c>
      <c r="F79" s="11" t="s">
        <v>2512</v>
      </c>
      <c r="G79" s="11" t="s">
        <v>2513</v>
      </c>
      <c r="H79" s="8" t="s">
        <v>2220</v>
      </c>
      <c r="I79" s="11" t="s">
        <v>2514</v>
      </c>
    </row>
    <row r="80" customFormat="false" ht="23.85" hidden="false" customHeight="false" outlineLevel="0" collapsed="false">
      <c r="A80" s="8" t="n">
        <v>35</v>
      </c>
      <c r="B80" s="15" t="n">
        <v>46319</v>
      </c>
      <c r="C80" s="8" t="s">
        <v>452</v>
      </c>
      <c r="D80" s="8" t="n">
        <v>1</v>
      </c>
      <c r="E80" s="8" t="s">
        <v>2515</v>
      </c>
      <c r="F80" s="11" t="s">
        <v>454</v>
      </c>
      <c r="G80" s="11" t="s">
        <v>2516</v>
      </c>
      <c r="H80" s="8" t="s">
        <v>2517</v>
      </c>
      <c r="I80" s="11" t="s">
        <v>2518</v>
      </c>
    </row>
    <row r="81" customFormat="false" ht="35.05" hidden="false" customHeight="false" outlineLevel="0" collapsed="false">
      <c r="A81" s="8" t="n">
        <v>35</v>
      </c>
      <c r="B81" s="15" t="n">
        <v>46319</v>
      </c>
      <c r="C81" s="8" t="s">
        <v>452</v>
      </c>
      <c r="D81" s="8" t="n">
        <v>2</v>
      </c>
      <c r="E81" s="8" t="s">
        <v>2519</v>
      </c>
      <c r="F81" s="11" t="s">
        <v>2520</v>
      </c>
      <c r="G81" s="11" t="s">
        <v>2521</v>
      </c>
      <c r="H81" s="8" t="s">
        <v>2220</v>
      </c>
      <c r="I81" s="11" t="s">
        <v>2522</v>
      </c>
    </row>
    <row r="82" customFormat="false" ht="35.05" hidden="false" customHeight="false" outlineLevel="0" collapsed="false">
      <c r="A82" s="8" t="n">
        <v>35</v>
      </c>
      <c r="B82" s="15" t="n">
        <v>46319</v>
      </c>
      <c r="C82" s="8" t="s">
        <v>452</v>
      </c>
      <c r="D82" s="8" t="n">
        <v>3</v>
      </c>
      <c r="E82" s="8" t="s">
        <v>2523</v>
      </c>
      <c r="F82" s="11" t="s">
        <v>2524</v>
      </c>
      <c r="G82" s="11" t="s">
        <v>2525</v>
      </c>
      <c r="H82" s="8" t="s">
        <v>2220</v>
      </c>
      <c r="I82" s="11" t="s">
        <v>2526</v>
      </c>
    </row>
    <row r="83" customFormat="false" ht="23.85" hidden="false" customHeight="false" outlineLevel="0" collapsed="false">
      <c r="A83" s="8" t="n">
        <v>35</v>
      </c>
      <c r="B83" s="15" t="n">
        <v>46319</v>
      </c>
      <c r="C83" s="8" t="s">
        <v>452</v>
      </c>
      <c r="D83" s="8" t="n">
        <v>4</v>
      </c>
      <c r="E83" s="8" t="s">
        <v>2527</v>
      </c>
      <c r="F83" s="11" t="s">
        <v>2528</v>
      </c>
      <c r="G83" s="11" t="s">
        <v>2529</v>
      </c>
      <c r="H83" s="8" t="s">
        <v>2220</v>
      </c>
      <c r="I83" s="11" t="s">
        <v>2530</v>
      </c>
    </row>
    <row r="84" customFormat="false" ht="46.25" hidden="false" customHeight="false" outlineLevel="0" collapsed="false">
      <c r="A84" s="8" t="n">
        <v>35</v>
      </c>
      <c r="B84" s="15" t="n">
        <v>46319</v>
      </c>
      <c r="C84" s="8" t="s">
        <v>452</v>
      </c>
      <c r="D84" s="8" t="n">
        <v>5</v>
      </c>
      <c r="E84" s="8" t="s">
        <v>2256</v>
      </c>
      <c r="F84" s="11" t="s">
        <v>2531</v>
      </c>
      <c r="G84" s="11" t="s">
        <v>2532</v>
      </c>
      <c r="H84" s="8" t="s">
        <v>2533</v>
      </c>
      <c r="I84" s="11" t="s">
        <v>2534</v>
      </c>
    </row>
    <row r="85" customFormat="false" ht="23.85" hidden="false" customHeight="false" outlineLevel="0" collapsed="false">
      <c r="A85" s="8" t="n">
        <v>35</v>
      </c>
      <c r="B85" s="15" t="n">
        <v>46319</v>
      </c>
      <c r="C85" s="8" t="s">
        <v>452</v>
      </c>
      <c r="D85" s="8" t="n">
        <v>6</v>
      </c>
      <c r="E85" s="8" t="s">
        <v>2235</v>
      </c>
      <c r="F85" s="11" t="s">
        <v>2535</v>
      </c>
      <c r="G85" s="11" t="s">
        <v>2536</v>
      </c>
      <c r="H85" s="8" t="s">
        <v>2220</v>
      </c>
      <c r="I85" s="11" t="s">
        <v>2537</v>
      </c>
    </row>
    <row r="86" customFormat="false" ht="23.85" hidden="false" customHeight="false" outlineLevel="0" collapsed="false">
      <c r="A86" s="8" t="n">
        <v>37</v>
      </c>
      <c r="B86" s="15" t="n">
        <v>46320</v>
      </c>
      <c r="C86" s="8" t="s">
        <v>473</v>
      </c>
      <c r="D86" s="8" t="n">
        <v>1</v>
      </c>
      <c r="E86" s="8" t="s">
        <v>2538</v>
      </c>
      <c r="F86" s="11" t="s">
        <v>475</v>
      </c>
      <c r="G86" s="11" t="s">
        <v>2539</v>
      </c>
      <c r="H86" s="8" t="s">
        <v>2540</v>
      </c>
      <c r="I86" s="11" t="s">
        <v>2541</v>
      </c>
    </row>
    <row r="87" customFormat="false" ht="23.85" hidden="false" customHeight="false" outlineLevel="0" collapsed="false">
      <c r="A87" s="8" t="n">
        <v>37</v>
      </c>
      <c r="B87" s="15" t="n">
        <v>46320</v>
      </c>
      <c r="C87" s="8" t="s">
        <v>473</v>
      </c>
      <c r="D87" s="8" t="n">
        <v>2</v>
      </c>
      <c r="E87" s="8" t="s">
        <v>2542</v>
      </c>
      <c r="F87" s="11" t="s">
        <v>2543</v>
      </c>
      <c r="G87" s="11" t="s">
        <v>2544</v>
      </c>
      <c r="H87" s="8" t="s">
        <v>2220</v>
      </c>
      <c r="I87" s="11" t="s">
        <v>2545</v>
      </c>
    </row>
    <row r="88" customFormat="false" ht="23.85" hidden="false" customHeight="false" outlineLevel="0" collapsed="false">
      <c r="A88" s="8" t="n">
        <v>37</v>
      </c>
      <c r="B88" s="15" t="n">
        <v>46320</v>
      </c>
      <c r="C88" s="8" t="s">
        <v>473</v>
      </c>
      <c r="D88" s="8" t="n">
        <v>3</v>
      </c>
      <c r="E88" s="8" t="s">
        <v>2546</v>
      </c>
      <c r="F88" s="11" t="s">
        <v>2547</v>
      </c>
      <c r="G88" s="11" t="s">
        <v>2548</v>
      </c>
      <c r="H88" s="8" t="s">
        <v>2220</v>
      </c>
      <c r="I88" s="11" t="s">
        <v>2549</v>
      </c>
    </row>
    <row r="89" customFormat="false" ht="23.85" hidden="false" customHeight="false" outlineLevel="0" collapsed="false">
      <c r="A89" s="8" t="n">
        <v>37</v>
      </c>
      <c r="B89" s="15" t="n">
        <v>46320</v>
      </c>
      <c r="C89" s="8" t="s">
        <v>473</v>
      </c>
      <c r="D89" s="8" t="n">
        <v>4</v>
      </c>
      <c r="E89" s="8" t="s">
        <v>2550</v>
      </c>
      <c r="F89" s="11" t="s">
        <v>2551</v>
      </c>
      <c r="G89" s="11" t="s">
        <v>2552</v>
      </c>
      <c r="H89" s="8" t="s">
        <v>2553</v>
      </c>
      <c r="I89" s="11" t="s">
        <v>2554</v>
      </c>
    </row>
    <row r="90" customFormat="false" ht="46.25" hidden="false" customHeight="false" outlineLevel="0" collapsed="false">
      <c r="A90" s="8" t="n">
        <v>37</v>
      </c>
      <c r="B90" s="15" t="n">
        <v>46320</v>
      </c>
      <c r="C90" s="8" t="s">
        <v>473</v>
      </c>
      <c r="D90" s="8" t="n">
        <v>5</v>
      </c>
      <c r="E90" s="8" t="s">
        <v>2227</v>
      </c>
      <c r="F90" s="11" t="s">
        <v>2555</v>
      </c>
      <c r="G90" s="11" t="s">
        <v>2556</v>
      </c>
      <c r="H90" s="8" t="s">
        <v>2220</v>
      </c>
      <c r="I90" s="11" t="s">
        <v>2557</v>
      </c>
    </row>
    <row r="91" customFormat="false" ht="23.85" hidden="false" customHeight="false" outlineLevel="0" collapsed="false">
      <c r="A91" s="8" t="n">
        <v>37</v>
      </c>
      <c r="B91" s="15" t="n">
        <v>46320</v>
      </c>
      <c r="C91" s="8" t="s">
        <v>473</v>
      </c>
      <c r="D91" s="8" t="n">
        <v>6</v>
      </c>
      <c r="E91" s="8" t="s">
        <v>2235</v>
      </c>
      <c r="F91" s="11" t="s">
        <v>2558</v>
      </c>
      <c r="G91" s="11" t="s">
        <v>2559</v>
      </c>
      <c r="H91" s="8" t="s">
        <v>2220</v>
      </c>
      <c r="I91" s="11" t="s">
        <v>2560</v>
      </c>
    </row>
    <row r="92" customFormat="false" ht="23.85" hidden="false" customHeight="false" outlineLevel="0" collapsed="false">
      <c r="A92" s="8" t="n">
        <v>40</v>
      </c>
      <c r="B92" s="15" t="n">
        <v>46321</v>
      </c>
      <c r="C92" s="8" t="s">
        <v>505</v>
      </c>
      <c r="D92" s="8" t="n">
        <v>1</v>
      </c>
      <c r="E92" s="8" t="s">
        <v>514</v>
      </c>
      <c r="F92" s="11" t="s">
        <v>507</v>
      </c>
      <c r="G92" s="11" t="s">
        <v>2561</v>
      </c>
      <c r="H92" s="8" t="s">
        <v>2562</v>
      </c>
      <c r="I92" s="11" t="s">
        <v>2563</v>
      </c>
    </row>
    <row r="93" customFormat="false" ht="23.85" hidden="false" customHeight="false" outlineLevel="0" collapsed="false">
      <c r="A93" s="8" t="n">
        <v>40</v>
      </c>
      <c r="B93" s="15" t="n">
        <v>46321</v>
      </c>
      <c r="C93" s="8" t="s">
        <v>505</v>
      </c>
      <c r="D93" s="8" t="n">
        <v>2</v>
      </c>
      <c r="E93" s="8" t="s">
        <v>2217</v>
      </c>
      <c r="F93" s="11" t="s">
        <v>2564</v>
      </c>
      <c r="G93" s="11" t="s">
        <v>2565</v>
      </c>
      <c r="H93" s="8" t="s">
        <v>2220</v>
      </c>
      <c r="I93" s="11" t="s">
        <v>2566</v>
      </c>
    </row>
    <row r="94" customFormat="false" ht="23.85" hidden="false" customHeight="false" outlineLevel="0" collapsed="false">
      <c r="A94" s="8" t="n">
        <v>40</v>
      </c>
      <c r="B94" s="15" t="n">
        <v>46321</v>
      </c>
      <c r="C94" s="8" t="s">
        <v>505</v>
      </c>
      <c r="D94" s="8" t="n">
        <v>3</v>
      </c>
      <c r="E94" s="8" t="s">
        <v>2567</v>
      </c>
      <c r="F94" s="11" t="s">
        <v>2568</v>
      </c>
      <c r="G94" s="11" t="s">
        <v>2569</v>
      </c>
      <c r="H94" s="8" t="s">
        <v>2562</v>
      </c>
      <c r="I94" s="11" t="s">
        <v>2570</v>
      </c>
    </row>
    <row r="95" customFormat="false" ht="46.25" hidden="false" customHeight="false" outlineLevel="0" collapsed="false">
      <c r="A95" s="8" t="n">
        <v>40</v>
      </c>
      <c r="B95" s="15" t="n">
        <v>46321</v>
      </c>
      <c r="C95" s="8" t="s">
        <v>505</v>
      </c>
      <c r="D95" s="8" t="n">
        <v>4</v>
      </c>
      <c r="E95" s="8" t="s">
        <v>2571</v>
      </c>
      <c r="F95" s="11" t="s">
        <v>2572</v>
      </c>
      <c r="G95" s="11" t="s">
        <v>2573</v>
      </c>
      <c r="H95" s="8" t="s">
        <v>2220</v>
      </c>
      <c r="I95" s="11" t="s">
        <v>2574</v>
      </c>
    </row>
    <row r="96" customFormat="false" ht="46.25" hidden="false" customHeight="false" outlineLevel="0" collapsed="false">
      <c r="A96" s="8" t="n">
        <v>40</v>
      </c>
      <c r="B96" s="15" t="n">
        <v>46321</v>
      </c>
      <c r="C96" s="8" t="s">
        <v>505</v>
      </c>
      <c r="D96" s="8" t="n">
        <v>5</v>
      </c>
      <c r="E96" s="8" t="s">
        <v>2575</v>
      </c>
      <c r="F96" s="11" t="s">
        <v>2576</v>
      </c>
      <c r="G96" s="11" t="s">
        <v>2577</v>
      </c>
      <c r="H96" s="8" t="s">
        <v>2578</v>
      </c>
      <c r="I96" s="11" t="s">
        <v>2579</v>
      </c>
    </row>
    <row r="97" customFormat="false" ht="23.85" hidden="false" customHeight="false" outlineLevel="0" collapsed="false">
      <c r="A97" s="8" t="n">
        <v>40</v>
      </c>
      <c r="B97" s="15" t="n">
        <v>46321</v>
      </c>
      <c r="C97" s="8" t="s">
        <v>505</v>
      </c>
      <c r="D97" s="8" t="n">
        <v>6</v>
      </c>
      <c r="E97" s="8" t="s">
        <v>2235</v>
      </c>
      <c r="F97" s="11" t="s">
        <v>2580</v>
      </c>
      <c r="G97" s="11" t="s">
        <v>2581</v>
      </c>
      <c r="H97" s="8" t="s">
        <v>2220</v>
      </c>
      <c r="I97" s="11" t="s">
        <v>2582</v>
      </c>
    </row>
    <row r="98" customFormat="false" ht="23.85" hidden="false" customHeight="false" outlineLevel="0" collapsed="false">
      <c r="A98" s="8" t="n">
        <v>41</v>
      </c>
      <c r="B98" s="15" t="n">
        <v>46322</v>
      </c>
      <c r="C98" s="8" t="s">
        <v>517</v>
      </c>
      <c r="D98" s="8" t="n">
        <v>1</v>
      </c>
      <c r="E98" s="8" t="s">
        <v>2583</v>
      </c>
      <c r="F98" s="11" t="s">
        <v>519</v>
      </c>
      <c r="G98" s="11" t="s">
        <v>2584</v>
      </c>
      <c r="H98" s="8" t="s">
        <v>2585</v>
      </c>
      <c r="I98" s="11" t="s">
        <v>2586</v>
      </c>
    </row>
    <row r="99" customFormat="false" ht="46.25" hidden="false" customHeight="false" outlineLevel="0" collapsed="false">
      <c r="A99" s="8" t="n">
        <v>41</v>
      </c>
      <c r="B99" s="15" t="n">
        <v>46322</v>
      </c>
      <c r="C99" s="8" t="s">
        <v>517</v>
      </c>
      <c r="D99" s="8" t="n">
        <v>2</v>
      </c>
      <c r="E99" s="8" t="s">
        <v>2587</v>
      </c>
      <c r="F99" s="11" t="s">
        <v>2588</v>
      </c>
      <c r="G99" s="11" t="s">
        <v>2589</v>
      </c>
      <c r="H99" s="8" t="s">
        <v>2590</v>
      </c>
      <c r="I99" s="11" t="s">
        <v>2591</v>
      </c>
    </row>
    <row r="100" customFormat="false" ht="23.85" hidden="false" customHeight="false" outlineLevel="0" collapsed="false">
      <c r="A100" s="8" t="n">
        <v>41</v>
      </c>
      <c r="B100" s="15" t="n">
        <v>46322</v>
      </c>
      <c r="C100" s="8" t="s">
        <v>517</v>
      </c>
      <c r="D100" s="8" t="n">
        <v>3</v>
      </c>
      <c r="E100" s="8" t="s">
        <v>2217</v>
      </c>
      <c r="F100" s="11" t="s">
        <v>2592</v>
      </c>
      <c r="G100" s="11" t="s">
        <v>2593</v>
      </c>
      <c r="H100" s="8" t="s">
        <v>2220</v>
      </c>
      <c r="I100" s="11" t="s">
        <v>2594</v>
      </c>
    </row>
    <row r="101" customFormat="false" ht="23.85" hidden="false" customHeight="false" outlineLevel="0" collapsed="false">
      <c r="A101" s="8" t="n">
        <v>41</v>
      </c>
      <c r="B101" s="15" t="n">
        <v>46322</v>
      </c>
      <c r="C101" s="8" t="s">
        <v>517</v>
      </c>
      <c r="D101" s="8" t="n">
        <v>4</v>
      </c>
      <c r="E101" s="8" t="s">
        <v>2595</v>
      </c>
      <c r="F101" s="11" t="s">
        <v>2596</v>
      </c>
      <c r="G101" s="11" t="s">
        <v>2597</v>
      </c>
      <c r="H101" s="8" t="s">
        <v>2585</v>
      </c>
      <c r="I101" s="11" t="s">
        <v>2598</v>
      </c>
    </row>
    <row r="102" customFormat="false" ht="46.25" hidden="false" customHeight="false" outlineLevel="0" collapsed="false">
      <c r="A102" s="8" t="n">
        <v>41</v>
      </c>
      <c r="B102" s="15" t="n">
        <v>46322</v>
      </c>
      <c r="C102" s="8" t="s">
        <v>517</v>
      </c>
      <c r="D102" s="8" t="n">
        <v>5</v>
      </c>
      <c r="E102" s="8" t="s">
        <v>2599</v>
      </c>
      <c r="F102" s="11" t="s">
        <v>2600</v>
      </c>
      <c r="G102" s="11" t="s">
        <v>2601</v>
      </c>
      <c r="H102" s="8" t="s">
        <v>2220</v>
      </c>
      <c r="I102" s="11" t="s">
        <v>2602</v>
      </c>
    </row>
    <row r="103" customFormat="false" ht="23.85" hidden="false" customHeight="false" outlineLevel="0" collapsed="false">
      <c r="A103" s="8" t="n">
        <v>41</v>
      </c>
      <c r="B103" s="15" t="n">
        <v>46322</v>
      </c>
      <c r="C103" s="8" t="s">
        <v>517</v>
      </c>
      <c r="D103" s="8" t="n">
        <v>6</v>
      </c>
      <c r="E103" s="8" t="s">
        <v>2235</v>
      </c>
      <c r="F103" s="11" t="s">
        <v>2603</v>
      </c>
      <c r="G103" s="11" t="s">
        <v>2604</v>
      </c>
      <c r="H103" s="8" t="s">
        <v>2220</v>
      </c>
      <c r="I103" s="11" t="s">
        <v>2605</v>
      </c>
    </row>
    <row r="104" customFormat="false" ht="23.85" hidden="false" customHeight="false" outlineLevel="0" collapsed="false">
      <c r="A104" s="8" t="n">
        <v>44</v>
      </c>
      <c r="B104" s="15" t="n">
        <v>46323</v>
      </c>
      <c r="C104" s="8" t="s">
        <v>548</v>
      </c>
      <c r="D104" s="8" t="n">
        <v>1</v>
      </c>
      <c r="E104" s="8" t="s">
        <v>2606</v>
      </c>
      <c r="F104" s="11" t="s">
        <v>550</v>
      </c>
      <c r="G104" s="11" t="s">
        <v>2607</v>
      </c>
      <c r="H104" s="8" t="s">
        <v>2608</v>
      </c>
      <c r="I104" s="11" t="s">
        <v>2609</v>
      </c>
    </row>
    <row r="105" customFormat="false" ht="23.85" hidden="false" customHeight="false" outlineLevel="0" collapsed="false">
      <c r="A105" s="8" t="n">
        <v>44</v>
      </c>
      <c r="B105" s="15" t="n">
        <v>46323</v>
      </c>
      <c r="C105" s="8" t="s">
        <v>548</v>
      </c>
      <c r="D105" s="8" t="n">
        <v>2</v>
      </c>
      <c r="E105" s="8" t="s">
        <v>2610</v>
      </c>
      <c r="F105" s="11" t="s">
        <v>2611</v>
      </c>
      <c r="G105" s="11" t="s">
        <v>2612</v>
      </c>
      <c r="H105" s="8" t="s">
        <v>2220</v>
      </c>
      <c r="I105" s="11" t="s">
        <v>2613</v>
      </c>
    </row>
    <row r="106" customFormat="false" ht="23.85" hidden="false" customHeight="false" outlineLevel="0" collapsed="false">
      <c r="A106" s="8" t="n">
        <v>44</v>
      </c>
      <c r="B106" s="15" t="n">
        <v>46323</v>
      </c>
      <c r="C106" s="8" t="s">
        <v>548</v>
      </c>
      <c r="D106" s="8" t="n">
        <v>3</v>
      </c>
      <c r="E106" s="8" t="s">
        <v>2614</v>
      </c>
      <c r="F106" s="11" t="s">
        <v>2615</v>
      </c>
      <c r="G106" s="11" t="s">
        <v>2616</v>
      </c>
      <c r="H106" s="8" t="s">
        <v>2220</v>
      </c>
      <c r="I106" s="11" t="s">
        <v>2617</v>
      </c>
    </row>
    <row r="107" customFormat="false" ht="35.05" hidden="false" customHeight="false" outlineLevel="0" collapsed="false">
      <c r="A107" s="8" t="n">
        <v>44</v>
      </c>
      <c r="B107" s="15" t="n">
        <v>46323</v>
      </c>
      <c r="C107" s="8" t="s">
        <v>548</v>
      </c>
      <c r="D107" s="8" t="n">
        <v>4</v>
      </c>
      <c r="E107" s="8" t="s">
        <v>2618</v>
      </c>
      <c r="F107" s="11" t="s">
        <v>2619</v>
      </c>
      <c r="G107" s="11" t="s">
        <v>2620</v>
      </c>
      <c r="H107" s="8" t="s">
        <v>2621</v>
      </c>
      <c r="I107" s="11" t="s">
        <v>2622</v>
      </c>
    </row>
    <row r="108" customFormat="false" ht="23.85" hidden="false" customHeight="false" outlineLevel="0" collapsed="false">
      <c r="A108" s="8" t="n">
        <v>44</v>
      </c>
      <c r="B108" s="15" t="n">
        <v>46323</v>
      </c>
      <c r="C108" s="8" t="s">
        <v>548</v>
      </c>
      <c r="D108" s="8" t="n">
        <v>5</v>
      </c>
      <c r="E108" s="8" t="s">
        <v>2623</v>
      </c>
      <c r="F108" s="11" t="s">
        <v>2624</v>
      </c>
      <c r="G108" s="11" t="s">
        <v>2625</v>
      </c>
      <c r="H108" s="8" t="s">
        <v>2220</v>
      </c>
      <c r="I108" s="11" t="s">
        <v>2626</v>
      </c>
    </row>
    <row r="109" customFormat="false" ht="23.85" hidden="false" customHeight="false" outlineLevel="0" collapsed="false">
      <c r="A109" s="8" t="n">
        <v>44</v>
      </c>
      <c r="B109" s="15" t="n">
        <v>46323</v>
      </c>
      <c r="C109" s="8" t="s">
        <v>548</v>
      </c>
      <c r="D109" s="8" t="n">
        <v>6</v>
      </c>
      <c r="E109" s="8" t="s">
        <v>2235</v>
      </c>
      <c r="F109" s="11" t="s">
        <v>2627</v>
      </c>
      <c r="G109" s="11" t="s">
        <v>2628</v>
      </c>
      <c r="H109" s="8" t="s">
        <v>2220</v>
      </c>
      <c r="I109" s="11" t="s">
        <v>2629</v>
      </c>
    </row>
    <row r="110" customFormat="false" ht="23.85" hidden="false" customHeight="false" outlineLevel="0" collapsed="false">
      <c r="A110" s="8" t="n">
        <v>46</v>
      </c>
      <c r="B110" s="15" t="n">
        <v>46324</v>
      </c>
      <c r="C110" s="8" t="s">
        <v>568</v>
      </c>
      <c r="D110" s="8" t="n">
        <v>1</v>
      </c>
      <c r="E110" s="8" t="s">
        <v>2630</v>
      </c>
      <c r="F110" s="11" t="s">
        <v>570</v>
      </c>
      <c r="G110" s="11" t="s">
        <v>2631</v>
      </c>
      <c r="H110" s="8" t="s">
        <v>2632</v>
      </c>
      <c r="I110" s="11" t="s">
        <v>2633</v>
      </c>
    </row>
    <row r="111" customFormat="false" ht="35.05" hidden="false" customHeight="false" outlineLevel="0" collapsed="false">
      <c r="A111" s="8" t="n">
        <v>46</v>
      </c>
      <c r="B111" s="15" t="n">
        <v>46324</v>
      </c>
      <c r="C111" s="8" t="s">
        <v>568</v>
      </c>
      <c r="D111" s="8" t="n">
        <v>2</v>
      </c>
      <c r="E111" s="8" t="s">
        <v>2634</v>
      </c>
      <c r="F111" s="11" t="s">
        <v>2635</v>
      </c>
      <c r="G111" s="11" t="s">
        <v>2636</v>
      </c>
      <c r="H111" s="8" t="s">
        <v>2220</v>
      </c>
      <c r="I111" s="11" t="s">
        <v>2637</v>
      </c>
    </row>
    <row r="112" customFormat="false" ht="35.05" hidden="false" customHeight="false" outlineLevel="0" collapsed="false">
      <c r="A112" s="8" t="n">
        <v>46</v>
      </c>
      <c r="B112" s="15" t="n">
        <v>46324</v>
      </c>
      <c r="C112" s="8" t="s">
        <v>568</v>
      </c>
      <c r="D112" s="8" t="n">
        <v>3</v>
      </c>
      <c r="E112" s="8" t="s">
        <v>2638</v>
      </c>
      <c r="F112" s="11" t="s">
        <v>2639</v>
      </c>
      <c r="G112" s="11" t="s">
        <v>2640</v>
      </c>
      <c r="H112" s="8" t="s">
        <v>2220</v>
      </c>
      <c r="I112" s="11" t="s">
        <v>2641</v>
      </c>
    </row>
    <row r="113" customFormat="false" ht="46.25" hidden="false" customHeight="false" outlineLevel="0" collapsed="false">
      <c r="A113" s="8" t="n">
        <v>46</v>
      </c>
      <c r="B113" s="15" t="n">
        <v>46324</v>
      </c>
      <c r="C113" s="8" t="s">
        <v>568</v>
      </c>
      <c r="D113" s="8" t="n">
        <v>4</v>
      </c>
      <c r="E113" s="8" t="s">
        <v>2642</v>
      </c>
      <c r="F113" s="11" t="s">
        <v>2643</v>
      </c>
      <c r="G113" s="11" t="s">
        <v>2644</v>
      </c>
      <c r="H113" s="8" t="s">
        <v>2645</v>
      </c>
      <c r="I113" s="11" t="s">
        <v>2646</v>
      </c>
    </row>
    <row r="114" customFormat="false" ht="46.25" hidden="false" customHeight="false" outlineLevel="0" collapsed="false">
      <c r="A114" s="8" t="n">
        <v>46</v>
      </c>
      <c r="B114" s="15" t="n">
        <v>46324</v>
      </c>
      <c r="C114" s="8" t="s">
        <v>568</v>
      </c>
      <c r="D114" s="8" t="n">
        <v>5</v>
      </c>
      <c r="E114" s="8" t="s">
        <v>2647</v>
      </c>
      <c r="F114" s="11" t="s">
        <v>2648</v>
      </c>
      <c r="G114" s="11" t="s">
        <v>2649</v>
      </c>
      <c r="H114" s="8" t="s">
        <v>2220</v>
      </c>
      <c r="I114" s="11" t="s">
        <v>2650</v>
      </c>
    </row>
    <row r="115" customFormat="false" ht="23.85" hidden="false" customHeight="false" outlineLevel="0" collapsed="false">
      <c r="A115" s="8" t="n">
        <v>46</v>
      </c>
      <c r="B115" s="15" t="n">
        <v>46324</v>
      </c>
      <c r="C115" s="8" t="s">
        <v>568</v>
      </c>
      <c r="D115" s="8" t="n">
        <v>6</v>
      </c>
      <c r="E115" s="8" t="s">
        <v>2651</v>
      </c>
      <c r="F115" s="11" t="s">
        <v>2652</v>
      </c>
      <c r="G115" s="11" t="s">
        <v>2653</v>
      </c>
      <c r="H115" s="8" t="s">
        <v>2220</v>
      </c>
      <c r="I115" s="11" t="s">
        <v>2654</v>
      </c>
    </row>
    <row r="116" customFormat="false" ht="23.85" hidden="false" customHeight="false" outlineLevel="0" collapsed="false">
      <c r="A116" s="8" t="n">
        <v>49</v>
      </c>
      <c r="B116" s="15" t="n">
        <v>46326</v>
      </c>
      <c r="C116" s="8" t="s">
        <v>601</v>
      </c>
      <c r="D116" s="8" t="n">
        <v>1</v>
      </c>
      <c r="E116" s="8" t="s">
        <v>2655</v>
      </c>
      <c r="F116" s="11" t="s">
        <v>603</v>
      </c>
      <c r="G116" s="11" t="s">
        <v>2656</v>
      </c>
      <c r="H116" s="8" t="s">
        <v>609</v>
      </c>
      <c r="I116" s="11" t="s">
        <v>2657</v>
      </c>
    </row>
    <row r="117" customFormat="false" ht="46.25" hidden="false" customHeight="false" outlineLevel="0" collapsed="false">
      <c r="A117" s="8" t="n">
        <v>49</v>
      </c>
      <c r="B117" s="15" t="n">
        <v>46326</v>
      </c>
      <c r="C117" s="8" t="s">
        <v>601</v>
      </c>
      <c r="D117" s="8" t="n">
        <v>2</v>
      </c>
      <c r="E117" s="8" t="s">
        <v>2658</v>
      </c>
      <c r="F117" s="11" t="s">
        <v>2659</v>
      </c>
      <c r="G117" s="11" t="s">
        <v>2660</v>
      </c>
      <c r="H117" s="8" t="s">
        <v>2220</v>
      </c>
      <c r="I117" s="11" t="s">
        <v>2661</v>
      </c>
    </row>
    <row r="118" customFormat="false" ht="35.05" hidden="false" customHeight="false" outlineLevel="0" collapsed="false">
      <c r="A118" s="8" t="n">
        <v>49</v>
      </c>
      <c r="B118" s="15" t="n">
        <v>46326</v>
      </c>
      <c r="C118" s="8" t="s">
        <v>601</v>
      </c>
      <c r="D118" s="8" t="n">
        <v>3</v>
      </c>
      <c r="E118" s="8" t="s">
        <v>2662</v>
      </c>
      <c r="F118" s="11" t="s">
        <v>2663</v>
      </c>
      <c r="G118" s="11" t="s">
        <v>2664</v>
      </c>
      <c r="H118" s="8" t="s">
        <v>2220</v>
      </c>
      <c r="I118" s="11" t="s">
        <v>2665</v>
      </c>
    </row>
    <row r="119" customFormat="false" ht="46.25" hidden="false" customHeight="false" outlineLevel="0" collapsed="false">
      <c r="A119" s="8" t="n">
        <v>49</v>
      </c>
      <c r="B119" s="15" t="n">
        <v>46326</v>
      </c>
      <c r="C119" s="8" t="s">
        <v>601</v>
      </c>
      <c r="D119" s="8" t="n">
        <v>4</v>
      </c>
      <c r="E119" s="8" t="s">
        <v>2666</v>
      </c>
      <c r="F119" s="11" t="s">
        <v>2667</v>
      </c>
      <c r="G119" s="11" t="s">
        <v>2668</v>
      </c>
      <c r="H119" s="8" t="s">
        <v>609</v>
      </c>
      <c r="I119" s="11" t="s">
        <v>2669</v>
      </c>
    </row>
    <row r="120" customFormat="false" ht="35.05" hidden="false" customHeight="false" outlineLevel="0" collapsed="false">
      <c r="A120" s="8" t="n">
        <v>49</v>
      </c>
      <c r="B120" s="15" t="n">
        <v>46326</v>
      </c>
      <c r="C120" s="8" t="s">
        <v>601</v>
      </c>
      <c r="D120" s="8" t="n">
        <v>5</v>
      </c>
      <c r="E120" s="8" t="s">
        <v>2670</v>
      </c>
      <c r="F120" s="11" t="s">
        <v>2671</v>
      </c>
      <c r="G120" s="11" t="s">
        <v>2672</v>
      </c>
      <c r="H120" s="8" t="s">
        <v>2220</v>
      </c>
      <c r="I120" s="11" t="s">
        <v>2673</v>
      </c>
    </row>
    <row r="121" customFormat="false" ht="23.85" hidden="false" customHeight="false" outlineLevel="0" collapsed="false">
      <c r="A121" s="8" t="n">
        <v>49</v>
      </c>
      <c r="B121" s="15" t="n">
        <v>46326</v>
      </c>
      <c r="C121" s="8" t="s">
        <v>601</v>
      </c>
      <c r="D121" s="8" t="n">
        <v>6</v>
      </c>
      <c r="E121" s="8" t="s">
        <v>2674</v>
      </c>
      <c r="F121" s="11" t="s">
        <v>2675</v>
      </c>
      <c r="G121" s="11" t="s">
        <v>2676</v>
      </c>
      <c r="H121" s="8" t="s">
        <v>2220</v>
      </c>
      <c r="I121" s="11" t="s">
        <v>2677</v>
      </c>
    </row>
    <row r="122" customFormat="false" ht="23.85" hidden="false" customHeight="false" outlineLevel="0" collapsed="false">
      <c r="A122" s="8" t="n">
        <v>51</v>
      </c>
      <c r="B122" s="15" t="n">
        <v>46327</v>
      </c>
      <c r="C122" s="8" t="s">
        <v>625</v>
      </c>
      <c r="D122" s="8" t="n">
        <v>1</v>
      </c>
      <c r="E122" s="8" t="s">
        <v>2678</v>
      </c>
      <c r="F122" s="11" t="s">
        <v>627</v>
      </c>
      <c r="G122" s="11" t="s">
        <v>2679</v>
      </c>
      <c r="H122" s="8" t="s">
        <v>633</v>
      </c>
      <c r="I122" s="11" t="s">
        <v>2680</v>
      </c>
    </row>
    <row r="123" customFormat="false" ht="46.25" hidden="false" customHeight="false" outlineLevel="0" collapsed="false">
      <c r="A123" s="8" t="n">
        <v>51</v>
      </c>
      <c r="B123" s="15" t="n">
        <v>46327</v>
      </c>
      <c r="C123" s="8" t="s">
        <v>625</v>
      </c>
      <c r="D123" s="8" t="n">
        <v>2</v>
      </c>
      <c r="E123" s="8" t="s">
        <v>2681</v>
      </c>
      <c r="F123" s="11" t="s">
        <v>2682</v>
      </c>
      <c r="G123" s="11" t="s">
        <v>2683</v>
      </c>
      <c r="H123" s="8" t="s">
        <v>2220</v>
      </c>
      <c r="I123" s="11" t="s">
        <v>2684</v>
      </c>
    </row>
    <row r="124" customFormat="false" ht="35.05" hidden="false" customHeight="false" outlineLevel="0" collapsed="false">
      <c r="A124" s="8" t="n">
        <v>51</v>
      </c>
      <c r="B124" s="15" t="n">
        <v>46327</v>
      </c>
      <c r="C124" s="8" t="s">
        <v>625</v>
      </c>
      <c r="D124" s="8" t="n">
        <v>3</v>
      </c>
      <c r="E124" s="8" t="s">
        <v>2685</v>
      </c>
      <c r="F124" s="11" t="s">
        <v>2686</v>
      </c>
      <c r="G124" s="11" t="s">
        <v>2687</v>
      </c>
      <c r="H124" s="8" t="s">
        <v>2220</v>
      </c>
      <c r="I124" s="11" t="s">
        <v>2688</v>
      </c>
    </row>
    <row r="125" customFormat="false" ht="35.05" hidden="false" customHeight="false" outlineLevel="0" collapsed="false">
      <c r="A125" s="8" t="n">
        <v>51</v>
      </c>
      <c r="B125" s="15" t="n">
        <v>46327</v>
      </c>
      <c r="C125" s="8" t="s">
        <v>625</v>
      </c>
      <c r="D125" s="8" t="n">
        <v>4</v>
      </c>
      <c r="E125" s="8" t="s">
        <v>2689</v>
      </c>
      <c r="F125" s="11" t="s">
        <v>2690</v>
      </c>
      <c r="G125" s="11" t="s">
        <v>2691</v>
      </c>
      <c r="H125" s="8" t="s">
        <v>633</v>
      </c>
      <c r="I125" s="11" t="s">
        <v>2692</v>
      </c>
    </row>
    <row r="126" customFormat="false" ht="23.85" hidden="false" customHeight="false" outlineLevel="0" collapsed="false">
      <c r="A126" s="8" t="n">
        <v>51</v>
      </c>
      <c r="B126" s="15" t="n">
        <v>46327</v>
      </c>
      <c r="C126" s="8" t="s">
        <v>625</v>
      </c>
      <c r="D126" s="8" t="n">
        <v>5</v>
      </c>
      <c r="E126" s="8" t="s">
        <v>40</v>
      </c>
      <c r="F126" s="11" t="s">
        <v>2693</v>
      </c>
      <c r="G126" s="11" t="s">
        <v>2694</v>
      </c>
      <c r="H126" s="8" t="s">
        <v>2220</v>
      </c>
      <c r="I126" s="11" t="s">
        <v>2695</v>
      </c>
    </row>
    <row r="127" customFormat="false" ht="23.85" hidden="false" customHeight="false" outlineLevel="0" collapsed="false">
      <c r="A127" s="8" t="n">
        <v>51</v>
      </c>
      <c r="B127" s="15" t="n">
        <v>46327</v>
      </c>
      <c r="C127" s="8" t="s">
        <v>625</v>
      </c>
      <c r="D127" s="8" t="n">
        <v>6</v>
      </c>
      <c r="E127" s="8" t="s">
        <v>2235</v>
      </c>
      <c r="F127" s="11" t="s">
        <v>2696</v>
      </c>
      <c r="G127" s="11" t="s">
        <v>2697</v>
      </c>
      <c r="H127" s="8" t="s">
        <v>2220</v>
      </c>
      <c r="I127" s="11" t="s">
        <v>2698</v>
      </c>
    </row>
    <row r="128" customFormat="false" ht="23.85" hidden="false" customHeight="false" outlineLevel="0" collapsed="false">
      <c r="A128" s="8" t="n">
        <v>55</v>
      </c>
      <c r="B128" s="15" t="n">
        <v>46329</v>
      </c>
      <c r="C128" s="8" t="s">
        <v>669</v>
      </c>
      <c r="D128" s="8" t="n">
        <v>1</v>
      </c>
      <c r="E128" s="8" t="s">
        <v>2699</v>
      </c>
      <c r="F128" s="11" t="s">
        <v>671</v>
      </c>
      <c r="G128" s="11" t="s">
        <v>2700</v>
      </c>
      <c r="H128" s="8" t="s">
        <v>2701</v>
      </c>
      <c r="I128" s="11" t="s">
        <v>2702</v>
      </c>
    </row>
    <row r="129" customFormat="false" ht="35.05" hidden="false" customHeight="false" outlineLevel="0" collapsed="false">
      <c r="A129" s="8" t="n">
        <v>55</v>
      </c>
      <c r="B129" s="15" t="n">
        <v>46329</v>
      </c>
      <c r="C129" s="8" t="s">
        <v>669</v>
      </c>
      <c r="D129" s="8" t="n">
        <v>2</v>
      </c>
      <c r="E129" s="8" t="s">
        <v>2243</v>
      </c>
      <c r="F129" s="11" t="s">
        <v>2703</v>
      </c>
      <c r="G129" s="11" t="s">
        <v>2704</v>
      </c>
      <c r="H129" s="8" t="s">
        <v>2220</v>
      </c>
      <c r="I129" s="11" t="s">
        <v>2705</v>
      </c>
    </row>
    <row r="130" customFormat="false" ht="35.05" hidden="false" customHeight="false" outlineLevel="0" collapsed="false">
      <c r="A130" s="8" t="n">
        <v>55</v>
      </c>
      <c r="B130" s="15" t="n">
        <v>46329</v>
      </c>
      <c r="C130" s="8" t="s">
        <v>669</v>
      </c>
      <c r="D130" s="8" t="n">
        <v>3</v>
      </c>
      <c r="E130" s="8" t="s">
        <v>2252</v>
      </c>
      <c r="F130" s="11" t="s">
        <v>2253</v>
      </c>
      <c r="G130" s="11" t="s">
        <v>2706</v>
      </c>
      <c r="H130" s="8" t="s">
        <v>2220</v>
      </c>
      <c r="I130" s="11" t="s">
        <v>2707</v>
      </c>
    </row>
    <row r="131" customFormat="false" ht="23.85" hidden="false" customHeight="false" outlineLevel="0" collapsed="false">
      <c r="A131" s="8" t="n">
        <v>55</v>
      </c>
      <c r="B131" s="15" t="n">
        <v>46329</v>
      </c>
      <c r="C131" s="8" t="s">
        <v>669</v>
      </c>
      <c r="D131" s="8" t="n">
        <v>4</v>
      </c>
      <c r="E131" s="8" t="s">
        <v>2708</v>
      </c>
      <c r="F131" s="11" t="s">
        <v>2709</v>
      </c>
      <c r="G131" s="11" t="s">
        <v>2710</v>
      </c>
      <c r="H131" s="8" t="s">
        <v>2711</v>
      </c>
      <c r="I131" s="11" t="s">
        <v>2712</v>
      </c>
    </row>
    <row r="132" customFormat="false" ht="46.25" hidden="false" customHeight="false" outlineLevel="0" collapsed="false">
      <c r="A132" s="8" t="n">
        <v>55</v>
      </c>
      <c r="B132" s="15" t="n">
        <v>46329</v>
      </c>
      <c r="C132" s="8" t="s">
        <v>669</v>
      </c>
      <c r="D132" s="8" t="n">
        <v>5</v>
      </c>
      <c r="E132" s="8" t="s">
        <v>2256</v>
      </c>
      <c r="F132" s="11" t="s">
        <v>2713</v>
      </c>
      <c r="G132" s="11" t="s">
        <v>2714</v>
      </c>
      <c r="H132" s="8" t="s">
        <v>2220</v>
      </c>
      <c r="I132" s="11" t="s">
        <v>2715</v>
      </c>
    </row>
    <row r="133" customFormat="false" ht="23.85" hidden="false" customHeight="false" outlineLevel="0" collapsed="false">
      <c r="A133" s="8" t="n">
        <v>55</v>
      </c>
      <c r="B133" s="15" t="n">
        <v>46329</v>
      </c>
      <c r="C133" s="8" t="s">
        <v>669</v>
      </c>
      <c r="D133" s="8" t="n">
        <v>6</v>
      </c>
      <c r="E133" s="8" t="s">
        <v>2235</v>
      </c>
      <c r="F133" s="11" t="s">
        <v>2716</v>
      </c>
      <c r="G133" s="11" t="s">
        <v>2717</v>
      </c>
      <c r="H133" s="8" t="s">
        <v>2711</v>
      </c>
      <c r="I133" s="11" t="s">
        <v>2718</v>
      </c>
    </row>
    <row r="134" customFormat="false" ht="23.85" hidden="false" customHeight="false" outlineLevel="0" collapsed="false">
      <c r="A134" s="8" t="n">
        <v>57</v>
      </c>
      <c r="B134" s="15" t="n">
        <v>46330</v>
      </c>
      <c r="C134" s="8" t="s">
        <v>691</v>
      </c>
      <c r="D134" s="8" t="n">
        <v>1</v>
      </c>
      <c r="E134" s="8" t="s">
        <v>2719</v>
      </c>
      <c r="F134" s="11" t="s">
        <v>693</v>
      </c>
      <c r="G134" s="11" t="s">
        <v>2720</v>
      </c>
      <c r="H134" s="8" t="s">
        <v>2721</v>
      </c>
      <c r="I134" s="11" t="s">
        <v>2722</v>
      </c>
    </row>
    <row r="135" customFormat="false" ht="46.25" hidden="false" customHeight="false" outlineLevel="0" collapsed="false">
      <c r="A135" s="8" t="n">
        <v>57</v>
      </c>
      <c r="B135" s="15" t="n">
        <v>46330</v>
      </c>
      <c r="C135" s="8" t="s">
        <v>691</v>
      </c>
      <c r="D135" s="8" t="n">
        <v>2</v>
      </c>
      <c r="E135" s="8" t="s">
        <v>2723</v>
      </c>
      <c r="F135" s="11" t="s">
        <v>2724</v>
      </c>
      <c r="G135" s="11" t="s">
        <v>2725</v>
      </c>
      <c r="H135" s="8" t="s">
        <v>2220</v>
      </c>
      <c r="I135" s="11" t="s">
        <v>2726</v>
      </c>
    </row>
    <row r="136" customFormat="false" ht="35.05" hidden="false" customHeight="false" outlineLevel="0" collapsed="false">
      <c r="A136" s="8" t="n">
        <v>57</v>
      </c>
      <c r="B136" s="15" t="n">
        <v>46330</v>
      </c>
      <c r="C136" s="8" t="s">
        <v>691</v>
      </c>
      <c r="D136" s="8" t="n">
        <v>3</v>
      </c>
      <c r="E136" s="8" t="s">
        <v>2727</v>
      </c>
      <c r="F136" s="11" t="s">
        <v>2728</v>
      </c>
      <c r="G136" s="11" t="s">
        <v>2729</v>
      </c>
      <c r="H136" s="8" t="s">
        <v>2220</v>
      </c>
      <c r="I136" s="11" t="s">
        <v>2730</v>
      </c>
    </row>
    <row r="137" customFormat="false" ht="23.85" hidden="false" customHeight="false" outlineLevel="0" collapsed="false">
      <c r="A137" s="8" t="n">
        <v>57</v>
      </c>
      <c r="B137" s="15" t="n">
        <v>46330</v>
      </c>
      <c r="C137" s="8" t="s">
        <v>691</v>
      </c>
      <c r="D137" s="8" t="n">
        <v>4</v>
      </c>
      <c r="E137" s="8" t="s">
        <v>2731</v>
      </c>
      <c r="F137" s="11" t="s">
        <v>2732</v>
      </c>
      <c r="G137" s="11" t="s">
        <v>2733</v>
      </c>
      <c r="H137" s="8" t="s">
        <v>2220</v>
      </c>
      <c r="I137" s="11" t="s">
        <v>2734</v>
      </c>
    </row>
    <row r="138" customFormat="false" ht="46.25" hidden="false" customHeight="false" outlineLevel="0" collapsed="false">
      <c r="A138" s="8" t="n">
        <v>57</v>
      </c>
      <c r="B138" s="15" t="n">
        <v>46330</v>
      </c>
      <c r="C138" s="8" t="s">
        <v>691</v>
      </c>
      <c r="D138" s="8" t="n">
        <v>5</v>
      </c>
      <c r="E138" s="8" t="s">
        <v>2735</v>
      </c>
      <c r="F138" s="11" t="s">
        <v>2736</v>
      </c>
      <c r="G138" s="11" t="s">
        <v>2737</v>
      </c>
      <c r="H138" s="8" t="s">
        <v>2738</v>
      </c>
      <c r="I138" s="11" t="s">
        <v>2739</v>
      </c>
    </row>
    <row r="139" customFormat="false" ht="23.85" hidden="false" customHeight="false" outlineLevel="0" collapsed="false">
      <c r="A139" s="8" t="n">
        <v>57</v>
      </c>
      <c r="B139" s="15" t="n">
        <v>46330</v>
      </c>
      <c r="C139" s="8" t="s">
        <v>691</v>
      </c>
      <c r="D139" s="8" t="n">
        <v>6</v>
      </c>
      <c r="E139" s="8" t="s">
        <v>2651</v>
      </c>
      <c r="F139" s="11" t="s">
        <v>2740</v>
      </c>
      <c r="G139" s="11" t="s">
        <v>2741</v>
      </c>
      <c r="H139" s="8" t="s">
        <v>2220</v>
      </c>
      <c r="I139" s="11" t="s">
        <v>2742</v>
      </c>
    </row>
    <row r="140" customFormat="false" ht="23.85" hidden="false" customHeight="false" outlineLevel="0" collapsed="false">
      <c r="A140" s="8" t="n">
        <v>64</v>
      </c>
      <c r="B140" s="15" t="n">
        <v>46333</v>
      </c>
      <c r="C140" s="8" t="s">
        <v>757</v>
      </c>
      <c r="D140" s="8" t="n">
        <v>1</v>
      </c>
      <c r="E140" s="8" t="s">
        <v>2743</v>
      </c>
      <c r="F140" s="11" t="s">
        <v>759</v>
      </c>
      <c r="G140" s="11" t="s">
        <v>2744</v>
      </c>
      <c r="H140" s="8" t="s">
        <v>764</v>
      </c>
      <c r="I140" s="11" t="s">
        <v>2745</v>
      </c>
    </row>
    <row r="141" customFormat="false" ht="23.85" hidden="false" customHeight="false" outlineLevel="0" collapsed="false">
      <c r="A141" s="8" t="n">
        <v>64</v>
      </c>
      <c r="B141" s="15" t="n">
        <v>46333</v>
      </c>
      <c r="C141" s="8" t="s">
        <v>757</v>
      </c>
      <c r="D141" s="8" t="n">
        <v>2</v>
      </c>
      <c r="E141" s="8" t="s">
        <v>2746</v>
      </c>
      <c r="F141" s="11" t="s">
        <v>2747</v>
      </c>
      <c r="G141" s="11" t="s">
        <v>2748</v>
      </c>
      <c r="H141" s="8" t="s">
        <v>2220</v>
      </c>
      <c r="I141" s="11" t="s">
        <v>2749</v>
      </c>
    </row>
    <row r="142" customFormat="false" ht="46.25" hidden="false" customHeight="false" outlineLevel="0" collapsed="false">
      <c r="A142" s="8" t="n">
        <v>64</v>
      </c>
      <c r="B142" s="15" t="n">
        <v>46333</v>
      </c>
      <c r="C142" s="8" t="s">
        <v>757</v>
      </c>
      <c r="D142" s="8" t="n">
        <v>3</v>
      </c>
      <c r="E142" s="8" t="s">
        <v>2750</v>
      </c>
      <c r="F142" s="11" t="s">
        <v>2751</v>
      </c>
      <c r="G142" s="11" t="s">
        <v>2752</v>
      </c>
      <c r="H142" s="8" t="s">
        <v>2220</v>
      </c>
      <c r="I142" s="11" t="s">
        <v>2753</v>
      </c>
    </row>
    <row r="143" customFormat="false" ht="46.25" hidden="false" customHeight="false" outlineLevel="0" collapsed="false">
      <c r="A143" s="8" t="n">
        <v>64</v>
      </c>
      <c r="B143" s="15" t="n">
        <v>46333</v>
      </c>
      <c r="C143" s="8" t="s">
        <v>757</v>
      </c>
      <c r="D143" s="8" t="n">
        <v>4</v>
      </c>
      <c r="E143" s="8" t="s">
        <v>2754</v>
      </c>
      <c r="F143" s="11" t="s">
        <v>2755</v>
      </c>
      <c r="G143" s="11" t="s">
        <v>2756</v>
      </c>
      <c r="H143" s="8" t="s">
        <v>764</v>
      </c>
      <c r="I143" s="11" t="s">
        <v>2757</v>
      </c>
    </row>
    <row r="144" customFormat="false" ht="23.85" hidden="false" customHeight="false" outlineLevel="0" collapsed="false">
      <c r="A144" s="8" t="n">
        <v>64</v>
      </c>
      <c r="B144" s="15" t="n">
        <v>46333</v>
      </c>
      <c r="C144" s="8" t="s">
        <v>757</v>
      </c>
      <c r="D144" s="8" t="n">
        <v>5</v>
      </c>
      <c r="E144" s="8" t="s">
        <v>2758</v>
      </c>
      <c r="F144" s="11" t="s">
        <v>2759</v>
      </c>
      <c r="G144" s="11" t="s">
        <v>2760</v>
      </c>
      <c r="H144" s="8" t="s">
        <v>2220</v>
      </c>
      <c r="I144" s="11" t="s">
        <v>2761</v>
      </c>
    </row>
    <row r="145" customFormat="false" ht="23.85" hidden="false" customHeight="false" outlineLevel="0" collapsed="false">
      <c r="A145" s="8" t="n">
        <v>64</v>
      </c>
      <c r="B145" s="15" t="n">
        <v>46333</v>
      </c>
      <c r="C145" s="8" t="s">
        <v>757</v>
      </c>
      <c r="D145" s="8" t="n">
        <v>6</v>
      </c>
      <c r="E145" s="8" t="s">
        <v>2235</v>
      </c>
      <c r="F145" s="11" t="s">
        <v>2762</v>
      </c>
      <c r="G145" s="11" t="s">
        <v>2763</v>
      </c>
      <c r="H145" s="8" t="s">
        <v>2220</v>
      </c>
      <c r="I145" s="11" t="s">
        <v>2764</v>
      </c>
    </row>
    <row r="146" customFormat="false" ht="23.85" hidden="false" customHeight="false" outlineLevel="0" collapsed="false">
      <c r="A146" s="8" t="n">
        <v>70</v>
      </c>
      <c r="B146" s="15" t="n">
        <v>46336</v>
      </c>
      <c r="C146" s="8" t="s">
        <v>818</v>
      </c>
      <c r="D146" s="8" t="n">
        <v>1</v>
      </c>
      <c r="E146" s="8" t="s">
        <v>2765</v>
      </c>
      <c r="F146" s="11" t="s">
        <v>820</v>
      </c>
      <c r="G146" s="11" t="s">
        <v>2766</v>
      </c>
      <c r="H146" s="8" t="s">
        <v>2767</v>
      </c>
      <c r="I146" s="11" t="s">
        <v>2768</v>
      </c>
    </row>
    <row r="147" customFormat="false" ht="23.85" hidden="false" customHeight="false" outlineLevel="0" collapsed="false">
      <c r="A147" s="8" t="n">
        <v>70</v>
      </c>
      <c r="B147" s="15" t="n">
        <v>46336</v>
      </c>
      <c r="C147" s="8" t="s">
        <v>818</v>
      </c>
      <c r="D147" s="8" t="n">
        <v>2</v>
      </c>
      <c r="E147" s="8" t="s">
        <v>2769</v>
      </c>
      <c r="F147" s="11" t="s">
        <v>2770</v>
      </c>
      <c r="G147" s="11" t="s">
        <v>2771</v>
      </c>
      <c r="H147" s="8" t="s">
        <v>2220</v>
      </c>
      <c r="I147" s="11" t="s">
        <v>2772</v>
      </c>
    </row>
    <row r="148" customFormat="false" ht="46.25" hidden="false" customHeight="false" outlineLevel="0" collapsed="false">
      <c r="A148" s="8" t="n">
        <v>70</v>
      </c>
      <c r="B148" s="15" t="n">
        <v>46336</v>
      </c>
      <c r="C148" s="8" t="s">
        <v>818</v>
      </c>
      <c r="D148" s="8" t="n">
        <v>3</v>
      </c>
      <c r="E148" s="8" t="s">
        <v>2773</v>
      </c>
      <c r="F148" s="11" t="s">
        <v>2774</v>
      </c>
      <c r="G148" s="11" t="s">
        <v>2775</v>
      </c>
      <c r="H148" s="8" t="s">
        <v>2220</v>
      </c>
      <c r="I148" s="11" t="s">
        <v>2776</v>
      </c>
    </row>
    <row r="149" customFormat="false" ht="23.85" hidden="false" customHeight="false" outlineLevel="0" collapsed="false">
      <c r="A149" s="8" t="n">
        <v>70</v>
      </c>
      <c r="B149" s="15" t="n">
        <v>46336</v>
      </c>
      <c r="C149" s="8" t="s">
        <v>818</v>
      </c>
      <c r="D149" s="8" t="n">
        <v>4</v>
      </c>
      <c r="E149" s="8" t="s">
        <v>2731</v>
      </c>
      <c r="F149" s="11" t="s">
        <v>2777</v>
      </c>
      <c r="G149" s="11" t="s">
        <v>2778</v>
      </c>
      <c r="H149" s="8" t="s">
        <v>2220</v>
      </c>
      <c r="I149" s="11" t="s">
        <v>2779</v>
      </c>
    </row>
    <row r="150" customFormat="false" ht="46.25" hidden="false" customHeight="false" outlineLevel="0" collapsed="false">
      <c r="A150" s="8" t="n">
        <v>70</v>
      </c>
      <c r="B150" s="15" t="n">
        <v>46336</v>
      </c>
      <c r="C150" s="8" t="s">
        <v>818</v>
      </c>
      <c r="D150" s="8" t="n">
        <v>5</v>
      </c>
      <c r="E150" s="8" t="s">
        <v>2780</v>
      </c>
      <c r="F150" s="11" t="s">
        <v>2781</v>
      </c>
      <c r="G150" s="11" t="s">
        <v>2782</v>
      </c>
      <c r="H150" s="8" t="s">
        <v>2783</v>
      </c>
      <c r="I150" s="11" t="s">
        <v>2784</v>
      </c>
    </row>
    <row r="151" customFormat="false" ht="23.85" hidden="false" customHeight="false" outlineLevel="0" collapsed="false">
      <c r="A151" s="8" t="n">
        <v>70</v>
      </c>
      <c r="B151" s="15" t="n">
        <v>46336</v>
      </c>
      <c r="C151" s="8" t="s">
        <v>818</v>
      </c>
      <c r="D151" s="8" t="n">
        <v>6</v>
      </c>
      <c r="E151" s="8" t="s">
        <v>2651</v>
      </c>
      <c r="F151" s="11" t="s">
        <v>2785</v>
      </c>
      <c r="G151" s="11" t="s">
        <v>2786</v>
      </c>
      <c r="H151" s="8" t="s">
        <v>2220</v>
      </c>
      <c r="I151" s="11" t="s">
        <v>2787</v>
      </c>
    </row>
    <row r="152" customFormat="false" ht="23.85" hidden="false" customHeight="false" outlineLevel="0" collapsed="false">
      <c r="A152" s="8" t="n">
        <v>71</v>
      </c>
      <c r="B152" s="15" t="n">
        <v>46337</v>
      </c>
      <c r="C152" s="8" t="s">
        <v>830</v>
      </c>
      <c r="D152" s="8" t="n">
        <v>1</v>
      </c>
      <c r="E152" s="8" t="s">
        <v>2788</v>
      </c>
      <c r="F152" s="11" t="s">
        <v>832</v>
      </c>
      <c r="G152" s="11" t="s">
        <v>2789</v>
      </c>
      <c r="H152" s="8" t="s">
        <v>2790</v>
      </c>
      <c r="I152" s="11" t="s">
        <v>2791</v>
      </c>
    </row>
    <row r="153" customFormat="false" ht="23.85" hidden="false" customHeight="false" outlineLevel="0" collapsed="false">
      <c r="A153" s="8" t="n">
        <v>71</v>
      </c>
      <c r="B153" s="15" t="n">
        <v>46337</v>
      </c>
      <c r="C153" s="8" t="s">
        <v>830</v>
      </c>
      <c r="D153" s="8" t="n">
        <v>2</v>
      </c>
      <c r="E153" s="8" t="s">
        <v>2322</v>
      </c>
      <c r="F153" s="11" t="s">
        <v>2792</v>
      </c>
      <c r="G153" s="11" t="s">
        <v>2793</v>
      </c>
      <c r="H153" s="8" t="s">
        <v>2220</v>
      </c>
      <c r="I153" s="11" t="s">
        <v>2794</v>
      </c>
    </row>
    <row r="154" customFormat="false" ht="57.45" hidden="false" customHeight="false" outlineLevel="0" collapsed="false">
      <c r="A154" s="8" t="n">
        <v>71</v>
      </c>
      <c r="B154" s="15" t="n">
        <v>46337</v>
      </c>
      <c r="C154" s="8" t="s">
        <v>830</v>
      </c>
      <c r="D154" s="8" t="n">
        <v>3</v>
      </c>
      <c r="E154" s="8" t="s">
        <v>2795</v>
      </c>
      <c r="F154" s="11" t="s">
        <v>2796</v>
      </c>
      <c r="G154" s="11" t="s">
        <v>2797</v>
      </c>
      <c r="H154" s="8" t="s">
        <v>2220</v>
      </c>
      <c r="I154" s="11" t="s">
        <v>2798</v>
      </c>
    </row>
    <row r="155" customFormat="false" ht="35.05" hidden="false" customHeight="false" outlineLevel="0" collapsed="false">
      <c r="A155" s="8" t="n">
        <v>71</v>
      </c>
      <c r="B155" s="15" t="n">
        <v>46337</v>
      </c>
      <c r="C155" s="8" t="s">
        <v>830</v>
      </c>
      <c r="D155" s="8" t="n">
        <v>4</v>
      </c>
      <c r="E155" s="8" t="s">
        <v>2618</v>
      </c>
      <c r="F155" s="11" t="s">
        <v>2799</v>
      </c>
      <c r="G155" s="11" t="s">
        <v>2800</v>
      </c>
      <c r="H155" s="8" t="s">
        <v>2801</v>
      </c>
      <c r="I155" s="11" t="s">
        <v>2802</v>
      </c>
    </row>
    <row r="156" customFormat="false" ht="23.85" hidden="false" customHeight="false" outlineLevel="0" collapsed="false">
      <c r="A156" s="8" t="n">
        <v>71</v>
      </c>
      <c r="B156" s="15" t="n">
        <v>46337</v>
      </c>
      <c r="C156" s="8" t="s">
        <v>830</v>
      </c>
      <c r="D156" s="8" t="n">
        <v>5</v>
      </c>
      <c r="E156" s="8" t="s">
        <v>2803</v>
      </c>
      <c r="F156" s="11" t="s">
        <v>2804</v>
      </c>
      <c r="G156" s="11" t="s">
        <v>2805</v>
      </c>
      <c r="H156" s="8" t="s">
        <v>2220</v>
      </c>
      <c r="I156" s="11" t="s">
        <v>2806</v>
      </c>
    </row>
    <row r="157" customFormat="false" ht="23.85" hidden="false" customHeight="false" outlineLevel="0" collapsed="false">
      <c r="A157" s="8" t="n">
        <v>71</v>
      </c>
      <c r="B157" s="15" t="n">
        <v>46337</v>
      </c>
      <c r="C157" s="8" t="s">
        <v>830</v>
      </c>
      <c r="D157" s="8" t="n">
        <v>6</v>
      </c>
      <c r="E157" s="8" t="s">
        <v>2235</v>
      </c>
      <c r="F157" s="11" t="s">
        <v>2807</v>
      </c>
      <c r="G157" s="11" t="s">
        <v>2808</v>
      </c>
      <c r="H157" s="8" t="s">
        <v>2220</v>
      </c>
      <c r="I157" s="11" t="s">
        <v>2809</v>
      </c>
    </row>
    <row r="158" customFormat="false" ht="23.85" hidden="false" customHeight="false" outlineLevel="0" collapsed="false">
      <c r="A158" s="8" t="n">
        <v>73</v>
      </c>
      <c r="B158" s="15" t="n">
        <v>46338</v>
      </c>
      <c r="C158" s="8" t="s">
        <v>852</v>
      </c>
      <c r="D158" s="8" t="n">
        <v>1</v>
      </c>
      <c r="E158" s="8" t="s">
        <v>2810</v>
      </c>
      <c r="F158" s="11" t="s">
        <v>854</v>
      </c>
      <c r="G158" s="11" t="s">
        <v>2811</v>
      </c>
      <c r="H158" s="8" t="s">
        <v>860</v>
      </c>
      <c r="I158" s="11" t="s">
        <v>2812</v>
      </c>
    </row>
    <row r="159" customFormat="false" ht="46.25" hidden="false" customHeight="false" outlineLevel="0" collapsed="false">
      <c r="A159" s="8" t="n">
        <v>73</v>
      </c>
      <c r="B159" s="15" t="n">
        <v>46338</v>
      </c>
      <c r="C159" s="8" t="s">
        <v>852</v>
      </c>
      <c r="D159" s="8" t="n">
        <v>2</v>
      </c>
      <c r="E159" s="8" t="s">
        <v>2813</v>
      </c>
      <c r="F159" s="11" t="s">
        <v>2814</v>
      </c>
      <c r="G159" s="11" t="s">
        <v>2815</v>
      </c>
      <c r="H159" s="8" t="s">
        <v>860</v>
      </c>
      <c r="I159" s="11" t="s">
        <v>2816</v>
      </c>
    </row>
    <row r="160" customFormat="false" ht="23.85" hidden="false" customHeight="false" outlineLevel="0" collapsed="false">
      <c r="A160" s="8" t="n">
        <v>73</v>
      </c>
      <c r="B160" s="15" t="n">
        <v>46338</v>
      </c>
      <c r="C160" s="8" t="s">
        <v>852</v>
      </c>
      <c r="D160" s="8" t="n">
        <v>3</v>
      </c>
      <c r="E160" s="8" t="s">
        <v>2817</v>
      </c>
      <c r="F160" s="11" t="s">
        <v>2818</v>
      </c>
      <c r="G160" s="11" t="s">
        <v>2819</v>
      </c>
      <c r="H160" s="8" t="s">
        <v>2220</v>
      </c>
      <c r="I160" s="11" t="s">
        <v>2820</v>
      </c>
    </row>
    <row r="161" customFormat="false" ht="23.85" hidden="false" customHeight="false" outlineLevel="0" collapsed="false">
      <c r="A161" s="8" t="n">
        <v>73</v>
      </c>
      <c r="B161" s="15" t="n">
        <v>46338</v>
      </c>
      <c r="C161" s="8" t="s">
        <v>852</v>
      </c>
      <c r="D161" s="8" t="n">
        <v>4</v>
      </c>
      <c r="E161" s="8" t="s">
        <v>2821</v>
      </c>
      <c r="F161" s="11" t="s">
        <v>2822</v>
      </c>
      <c r="G161" s="11" t="s">
        <v>2823</v>
      </c>
      <c r="H161" s="8" t="s">
        <v>2220</v>
      </c>
      <c r="I161" s="11" t="s">
        <v>2824</v>
      </c>
    </row>
    <row r="162" customFormat="false" ht="46.25" hidden="false" customHeight="false" outlineLevel="0" collapsed="false">
      <c r="A162" s="8" t="n">
        <v>73</v>
      </c>
      <c r="B162" s="15" t="n">
        <v>46338</v>
      </c>
      <c r="C162" s="8" t="s">
        <v>852</v>
      </c>
      <c r="D162" s="8" t="n">
        <v>5</v>
      </c>
      <c r="E162" s="8" t="s">
        <v>2825</v>
      </c>
      <c r="F162" s="11" t="s">
        <v>2826</v>
      </c>
      <c r="G162" s="11" t="s">
        <v>2827</v>
      </c>
      <c r="H162" s="8" t="s">
        <v>2220</v>
      </c>
      <c r="I162" s="11" t="s">
        <v>2828</v>
      </c>
    </row>
    <row r="163" customFormat="false" ht="23.85" hidden="false" customHeight="false" outlineLevel="0" collapsed="false">
      <c r="A163" s="8" t="n">
        <v>73</v>
      </c>
      <c r="B163" s="15" t="n">
        <v>46338</v>
      </c>
      <c r="C163" s="8" t="s">
        <v>852</v>
      </c>
      <c r="D163" s="8" t="n">
        <v>6</v>
      </c>
      <c r="E163" s="8" t="s">
        <v>2235</v>
      </c>
      <c r="F163" s="11" t="s">
        <v>2829</v>
      </c>
      <c r="G163" s="11" t="s">
        <v>2830</v>
      </c>
      <c r="H163" s="8" t="s">
        <v>2220</v>
      </c>
      <c r="I163" s="11" t="s">
        <v>2831</v>
      </c>
    </row>
    <row r="164" customFormat="false" ht="23.85" hidden="false" customHeight="false" outlineLevel="0" collapsed="false">
      <c r="A164" s="8" t="n">
        <v>75</v>
      </c>
      <c r="B164" s="15" t="n">
        <v>46339</v>
      </c>
      <c r="C164" s="8" t="s">
        <v>874</v>
      </c>
      <c r="D164" s="8" t="n">
        <v>1</v>
      </c>
      <c r="E164" s="8" t="s">
        <v>2832</v>
      </c>
      <c r="F164" s="11" t="s">
        <v>876</v>
      </c>
      <c r="G164" s="11" t="s">
        <v>2833</v>
      </c>
      <c r="H164" s="8" t="s">
        <v>2834</v>
      </c>
      <c r="I164" s="11" t="s">
        <v>2835</v>
      </c>
    </row>
    <row r="165" customFormat="false" ht="46.25" hidden="false" customHeight="false" outlineLevel="0" collapsed="false">
      <c r="A165" s="8" t="n">
        <v>75</v>
      </c>
      <c r="B165" s="15" t="n">
        <v>46339</v>
      </c>
      <c r="C165" s="8" t="s">
        <v>874</v>
      </c>
      <c r="D165" s="8" t="n">
        <v>2</v>
      </c>
      <c r="E165" s="8" t="s">
        <v>2836</v>
      </c>
      <c r="F165" s="11" t="s">
        <v>2837</v>
      </c>
      <c r="G165" s="11" t="s">
        <v>2838</v>
      </c>
      <c r="H165" s="8" t="s">
        <v>2220</v>
      </c>
      <c r="I165" s="11" t="s">
        <v>2839</v>
      </c>
    </row>
    <row r="166" customFormat="false" ht="23.85" hidden="false" customHeight="false" outlineLevel="0" collapsed="false">
      <c r="A166" s="8" t="n">
        <v>75</v>
      </c>
      <c r="B166" s="15" t="n">
        <v>46339</v>
      </c>
      <c r="C166" s="8" t="s">
        <v>874</v>
      </c>
      <c r="D166" s="8" t="n">
        <v>3</v>
      </c>
      <c r="E166" s="8" t="s">
        <v>2840</v>
      </c>
      <c r="F166" s="11" t="s">
        <v>2841</v>
      </c>
      <c r="G166" s="11" t="s">
        <v>2842</v>
      </c>
      <c r="H166" s="8" t="s">
        <v>2843</v>
      </c>
      <c r="I166" s="11" t="s">
        <v>2844</v>
      </c>
    </row>
    <row r="167" customFormat="false" ht="35.05" hidden="false" customHeight="false" outlineLevel="0" collapsed="false">
      <c r="A167" s="8" t="n">
        <v>75</v>
      </c>
      <c r="B167" s="15" t="n">
        <v>46339</v>
      </c>
      <c r="C167" s="8" t="s">
        <v>874</v>
      </c>
      <c r="D167" s="8" t="n">
        <v>4</v>
      </c>
      <c r="E167" s="8" t="s">
        <v>2845</v>
      </c>
      <c r="F167" s="11" t="s">
        <v>2846</v>
      </c>
      <c r="G167" s="11" t="s">
        <v>2847</v>
      </c>
      <c r="H167" s="8" t="s">
        <v>2220</v>
      </c>
      <c r="I167" s="11" t="s">
        <v>2848</v>
      </c>
    </row>
    <row r="168" customFormat="false" ht="46.25" hidden="false" customHeight="false" outlineLevel="0" collapsed="false">
      <c r="A168" s="8" t="n">
        <v>75</v>
      </c>
      <c r="B168" s="15" t="n">
        <v>46339</v>
      </c>
      <c r="C168" s="8" t="s">
        <v>874</v>
      </c>
      <c r="D168" s="8" t="n">
        <v>5</v>
      </c>
      <c r="E168" s="8" t="s">
        <v>2849</v>
      </c>
      <c r="F168" s="11" t="s">
        <v>2850</v>
      </c>
      <c r="G168" s="11" t="s">
        <v>2851</v>
      </c>
      <c r="H168" s="8" t="s">
        <v>2220</v>
      </c>
      <c r="I168" s="11" t="s">
        <v>2852</v>
      </c>
    </row>
    <row r="169" customFormat="false" ht="23.85" hidden="false" customHeight="false" outlineLevel="0" collapsed="false">
      <c r="A169" s="8" t="n">
        <v>75</v>
      </c>
      <c r="B169" s="15" t="n">
        <v>46339</v>
      </c>
      <c r="C169" s="8" t="s">
        <v>874</v>
      </c>
      <c r="D169" s="8" t="n">
        <v>6</v>
      </c>
      <c r="E169" s="8" t="s">
        <v>2235</v>
      </c>
      <c r="F169" s="11" t="s">
        <v>2853</v>
      </c>
      <c r="G169" s="11" t="s">
        <v>2854</v>
      </c>
      <c r="H169" s="8" t="s">
        <v>2220</v>
      </c>
      <c r="I169" s="11" t="s">
        <v>2855</v>
      </c>
    </row>
    <row r="170" customFormat="false" ht="23.85" hidden="false" customHeight="false" outlineLevel="0" collapsed="false">
      <c r="A170" s="8" t="n">
        <v>78</v>
      </c>
      <c r="B170" s="15" t="n">
        <v>46340</v>
      </c>
      <c r="C170" s="8" t="s">
        <v>904</v>
      </c>
      <c r="D170" s="8" t="n">
        <v>1</v>
      </c>
      <c r="E170" s="8" t="s">
        <v>2856</v>
      </c>
      <c r="F170" s="11" t="s">
        <v>906</v>
      </c>
      <c r="G170" s="11" t="s">
        <v>2857</v>
      </c>
      <c r="H170" s="8" t="s">
        <v>2858</v>
      </c>
      <c r="I170" s="11" t="s">
        <v>2859</v>
      </c>
    </row>
    <row r="171" customFormat="false" ht="46.25" hidden="false" customHeight="false" outlineLevel="0" collapsed="false">
      <c r="A171" s="8" t="n">
        <v>78</v>
      </c>
      <c r="B171" s="15" t="n">
        <v>46340</v>
      </c>
      <c r="C171" s="8" t="s">
        <v>904</v>
      </c>
      <c r="D171" s="8" t="n">
        <v>2</v>
      </c>
      <c r="E171" s="8" t="s">
        <v>2860</v>
      </c>
      <c r="F171" s="11" t="s">
        <v>2861</v>
      </c>
      <c r="G171" s="11" t="s">
        <v>2862</v>
      </c>
      <c r="H171" s="8" t="s">
        <v>2220</v>
      </c>
      <c r="I171" s="11" t="s">
        <v>2863</v>
      </c>
    </row>
    <row r="172" customFormat="false" ht="46.25" hidden="false" customHeight="false" outlineLevel="0" collapsed="false">
      <c r="A172" s="8" t="n">
        <v>78</v>
      </c>
      <c r="B172" s="15" t="n">
        <v>46340</v>
      </c>
      <c r="C172" s="8" t="s">
        <v>904</v>
      </c>
      <c r="D172" s="8" t="n">
        <v>3</v>
      </c>
      <c r="E172" s="8" t="s">
        <v>2864</v>
      </c>
      <c r="F172" s="11" t="s">
        <v>2865</v>
      </c>
      <c r="G172" s="11" t="s">
        <v>2866</v>
      </c>
      <c r="H172" s="8" t="s">
        <v>2220</v>
      </c>
      <c r="I172" s="11" t="s">
        <v>2867</v>
      </c>
    </row>
    <row r="173" customFormat="false" ht="35.05" hidden="false" customHeight="false" outlineLevel="0" collapsed="false">
      <c r="A173" s="8" t="n">
        <v>78</v>
      </c>
      <c r="B173" s="15" t="n">
        <v>46340</v>
      </c>
      <c r="C173" s="8" t="s">
        <v>904</v>
      </c>
      <c r="D173" s="8" t="n">
        <v>4</v>
      </c>
      <c r="E173" s="8" t="s">
        <v>2731</v>
      </c>
      <c r="F173" s="11" t="s">
        <v>2868</v>
      </c>
      <c r="G173" s="11" t="s">
        <v>2869</v>
      </c>
      <c r="H173" s="8" t="s">
        <v>2220</v>
      </c>
      <c r="I173" s="11" t="s">
        <v>2870</v>
      </c>
    </row>
    <row r="174" customFormat="false" ht="46.25" hidden="false" customHeight="false" outlineLevel="0" collapsed="false">
      <c r="A174" s="8" t="n">
        <v>78</v>
      </c>
      <c r="B174" s="15" t="n">
        <v>46340</v>
      </c>
      <c r="C174" s="8" t="s">
        <v>904</v>
      </c>
      <c r="D174" s="8" t="n">
        <v>5</v>
      </c>
      <c r="E174" s="8" t="s">
        <v>2871</v>
      </c>
      <c r="F174" s="11" t="s">
        <v>2872</v>
      </c>
      <c r="G174" s="11" t="s">
        <v>2873</v>
      </c>
      <c r="H174" s="8" t="s">
        <v>2874</v>
      </c>
      <c r="I174" s="11" t="s">
        <v>2875</v>
      </c>
    </row>
    <row r="175" customFormat="false" ht="23.85" hidden="false" customHeight="false" outlineLevel="0" collapsed="false">
      <c r="A175" s="8" t="n">
        <v>78</v>
      </c>
      <c r="B175" s="15" t="n">
        <v>46340</v>
      </c>
      <c r="C175" s="8" t="s">
        <v>904</v>
      </c>
      <c r="D175" s="8" t="n">
        <v>6</v>
      </c>
      <c r="E175" s="8" t="s">
        <v>2651</v>
      </c>
      <c r="F175" s="11" t="s">
        <v>2876</v>
      </c>
      <c r="G175" s="11" t="s">
        <v>2877</v>
      </c>
      <c r="H175" s="8" t="s">
        <v>2220</v>
      </c>
      <c r="I175" s="11" t="s">
        <v>2878</v>
      </c>
    </row>
    <row r="176" customFormat="false" ht="23.85" hidden="false" customHeight="false" outlineLevel="0" collapsed="false">
      <c r="A176" s="8" t="n">
        <v>82</v>
      </c>
      <c r="B176" s="15" t="n">
        <v>46342</v>
      </c>
      <c r="C176" s="8" t="s">
        <v>947</v>
      </c>
      <c r="D176" s="8" t="n">
        <v>1</v>
      </c>
      <c r="E176" s="8" t="s">
        <v>2879</v>
      </c>
      <c r="F176" s="11" t="s">
        <v>949</v>
      </c>
      <c r="G176" s="11" t="s">
        <v>2880</v>
      </c>
      <c r="H176" s="8" t="s">
        <v>2881</v>
      </c>
      <c r="I176" s="11" t="s">
        <v>2882</v>
      </c>
    </row>
    <row r="177" customFormat="false" ht="23.85" hidden="false" customHeight="false" outlineLevel="0" collapsed="false">
      <c r="A177" s="8" t="n">
        <v>82</v>
      </c>
      <c r="B177" s="15" t="n">
        <v>46342</v>
      </c>
      <c r="C177" s="8" t="s">
        <v>947</v>
      </c>
      <c r="D177" s="8" t="n">
        <v>2</v>
      </c>
      <c r="E177" s="8" t="s">
        <v>2634</v>
      </c>
      <c r="F177" s="11" t="s">
        <v>2883</v>
      </c>
      <c r="G177" s="11" t="s">
        <v>2884</v>
      </c>
      <c r="H177" s="8" t="s">
        <v>2220</v>
      </c>
      <c r="I177" s="11" t="s">
        <v>2885</v>
      </c>
    </row>
    <row r="178" customFormat="false" ht="46.25" hidden="false" customHeight="false" outlineLevel="0" collapsed="false">
      <c r="A178" s="8" t="n">
        <v>82</v>
      </c>
      <c r="B178" s="15" t="n">
        <v>46342</v>
      </c>
      <c r="C178" s="8" t="s">
        <v>947</v>
      </c>
      <c r="D178" s="8" t="n">
        <v>3</v>
      </c>
      <c r="E178" s="8" t="s">
        <v>2642</v>
      </c>
      <c r="F178" s="11" t="s">
        <v>2886</v>
      </c>
      <c r="G178" s="11" t="s">
        <v>2887</v>
      </c>
      <c r="H178" s="8" t="s">
        <v>2220</v>
      </c>
      <c r="I178" s="11" t="s">
        <v>2888</v>
      </c>
    </row>
    <row r="179" customFormat="false" ht="46.25" hidden="false" customHeight="false" outlineLevel="0" collapsed="false">
      <c r="A179" s="8" t="n">
        <v>82</v>
      </c>
      <c r="B179" s="15" t="n">
        <v>46342</v>
      </c>
      <c r="C179" s="8" t="s">
        <v>947</v>
      </c>
      <c r="D179" s="8" t="n">
        <v>4</v>
      </c>
      <c r="E179" s="8" t="s">
        <v>2889</v>
      </c>
      <c r="F179" s="11" t="s">
        <v>2890</v>
      </c>
      <c r="G179" s="11" t="s">
        <v>2891</v>
      </c>
      <c r="H179" s="8" t="s">
        <v>2892</v>
      </c>
      <c r="I179" s="11" t="s">
        <v>2893</v>
      </c>
    </row>
    <row r="180" customFormat="false" ht="35.05" hidden="false" customHeight="false" outlineLevel="0" collapsed="false">
      <c r="A180" s="8" t="n">
        <v>82</v>
      </c>
      <c r="B180" s="15" t="n">
        <v>46342</v>
      </c>
      <c r="C180" s="8" t="s">
        <v>947</v>
      </c>
      <c r="D180" s="8" t="n">
        <v>5</v>
      </c>
      <c r="E180" s="8" t="s">
        <v>2894</v>
      </c>
      <c r="F180" s="11" t="s">
        <v>2895</v>
      </c>
      <c r="G180" s="11" t="s">
        <v>2896</v>
      </c>
      <c r="H180" s="8" t="s">
        <v>2220</v>
      </c>
      <c r="I180" s="11" t="s">
        <v>2897</v>
      </c>
    </row>
    <row r="181" customFormat="false" ht="23.85" hidden="false" customHeight="false" outlineLevel="0" collapsed="false">
      <c r="A181" s="8" t="n">
        <v>82</v>
      </c>
      <c r="B181" s="15" t="n">
        <v>46342</v>
      </c>
      <c r="C181" s="8" t="s">
        <v>947</v>
      </c>
      <c r="D181" s="8" t="n">
        <v>6</v>
      </c>
      <c r="E181" s="8" t="s">
        <v>2651</v>
      </c>
      <c r="F181" s="11" t="s">
        <v>2898</v>
      </c>
      <c r="G181" s="11" t="s">
        <v>2899</v>
      </c>
      <c r="H181" s="8" t="s">
        <v>2220</v>
      </c>
      <c r="I181" s="11" t="s">
        <v>2900</v>
      </c>
    </row>
    <row r="182" customFormat="false" ht="23.85" hidden="false" customHeight="false" outlineLevel="0" collapsed="false">
      <c r="A182" s="8" t="n">
        <v>83</v>
      </c>
      <c r="B182" s="15" t="n">
        <v>46343</v>
      </c>
      <c r="C182" s="8" t="s">
        <v>960</v>
      </c>
      <c r="D182" s="8" t="n">
        <v>1</v>
      </c>
      <c r="E182" s="8" t="s">
        <v>2901</v>
      </c>
      <c r="F182" s="11" t="s">
        <v>962</v>
      </c>
      <c r="G182" s="11" t="s">
        <v>2902</v>
      </c>
      <c r="H182" s="8" t="s">
        <v>968</v>
      </c>
      <c r="I182" s="11" t="s">
        <v>2903</v>
      </c>
    </row>
    <row r="183" customFormat="false" ht="23.85" hidden="false" customHeight="false" outlineLevel="0" collapsed="false">
      <c r="A183" s="8" t="n">
        <v>83</v>
      </c>
      <c r="B183" s="15" t="n">
        <v>46343</v>
      </c>
      <c r="C183" s="8" t="s">
        <v>960</v>
      </c>
      <c r="D183" s="8" t="n">
        <v>2</v>
      </c>
      <c r="E183" s="8" t="s">
        <v>2904</v>
      </c>
      <c r="F183" s="11" t="s">
        <v>2905</v>
      </c>
      <c r="G183" s="11" t="s">
        <v>2906</v>
      </c>
      <c r="H183" s="8" t="s">
        <v>2220</v>
      </c>
      <c r="I183" s="11" t="s">
        <v>2907</v>
      </c>
    </row>
    <row r="184" customFormat="false" ht="23.85" hidden="false" customHeight="false" outlineLevel="0" collapsed="false">
      <c r="A184" s="8" t="n">
        <v>83</v>
      </c>
      <c r="B184" s="15" t="n">
        <v>46343</v>
      </c>
      <c r="C184" s="8" t="s">
        <v>960</v>
      </c>
      <c r="D184" s="8" t="n">
        <v>3</v>
      </c>
      <c r="E184" s="8" t="s">
        <v>2908</v>
      </c>
      <c r="F184" s="11" t="s">
        <v>2909</v>
      </c>
      <c r="G184" s="11" t="s">
        <v>2910</v>
      </c>
      <c r="H184" s="8" t="s">
        <v>2220</v>
      </c>
      <c r="I184" s="11" t="s">
        <v>2911</v>
      </c>
    </row>
    <row r="185" customFormat="false" ht="23.85" hidden="false" customHeight="false" outlineLevel="0" collapsed="false">
      <c r="A185" s="8" t="n">
        <v>83</v>
      </c>
      <c r="B185" s="15" t="n">
        <v>46343</v>
      </c>
      <c r="C185" s="8" t="s">
        <v>960</v>
      </c>
      <c r="D185" s="8" t="n">
        <v>4</v>
      </c>
      <c r="E185" s="8" t="s">
        <v>2912</v>
      </c>
      <c r="F185" s="11" t="s">
        <v>2913</v>
      </c>
      <c r="G185" s="11" t="s">
        <v>2914</v>
      </c>
      <c r="H185" s="8" t="s">
        <v>968</v>
      </c>
      <c r="I185" s="11" t="s">
        <v>2915</v>
      </c>
    </row>
    <row r="186" customFormat="false" ht="23.85" hidden="false" customHeight="false" outlineLevel="0" collapsed="false">
      <c r="A186" s="8" t="n">
        <v>83</v>
      </c>
      <c r="B186" s="15" t="n">
        <v>46343</v>
      </c>
      <c r="C186" s="8" t="s">
        <v>960</v>
      </c>
      <c r="D186" s="8" t="n">
        <v>5</v>
      </c>
      <c r="E186" s="8" t="s">
        <v>2392</v>
      </c>
      <c r="F186" s="11" t="s">
        <v>2916</v>
      </c>
      <c r="G186" s="11" t="s">
        <v>2917</v>
      </c>
      <c r="H186" s="8" t="s">
        <v>2220</v>
      </c>
      <c r="I186" s="11" t="s">
        <v>2918</v>
      </c>
    </row>
    <row r="187" customFormat="false" ht="23.85" hidden="false" customHeight="false" outlineLevel="0" collapsed="false">
      <c r="A187" s="8" t="n">
        <v>83</v>
      </c>
      <c r="B187" s="15" t="n">
        <v>46343</v>
      </c>
      <c r="C187" s="8" t="s">
        <v>960</v>
      </c>
      <c r="D187" s="8" t="n">
        <v>6</v>
      </c>
      <c r="E187" s="8" t="s">
        <v>2235</v>
      </c>
      <c r="F187" s="11" t="s">
        <v>2919</v>
      </c>
      <c r="G187" s="11" t="s">
        <v>2920</v>
      </c>
      <c r="H187" s="8" t="s">
        <v>2220</v>
      </c>
      <c r="I187" s="11" t="s">
        <v>2921</v>
      </c>
    </row>
    <row r="188" customFormat="false" ht="23.85" hidden="false" customHeight="false" outlineLevel="0" collapsed="false">
      <c r="A188" s="8" t="n">
        <v>86</v>
      </c>
      <c r="B188" s="15" t="n">
        <v>46344</v>
      </c>
      <c r="C188" s="8" t="s">
        <v>992</v>
      </c>
      <c r="D188" s="8" t="n">
        <v>1</v>
      </c>
      <c r="E188" s="8" t="s">
        <v>2922</v>
      </c>
      <c r="F188" s="11" t="s">
        <v>994</v>
      </c>
      <c r="G188" s="11" t="s">
        <v>2923</v>
      </c>
      <c r="H188" s="8" t="s">
        <v>2924</v>
      </c>
      <c r="I188" s="11" t="s">
        <v>2925</v>
      </c>
    </row>
    <row r="189" customFormat="false" ht="23.85" hidden="false" customHeight="false" outlineLevel="0" collapsed="false">
      <c r="A189" s="8" t="n">
        <v>86</v>
      </c>
      <c r="B189" s="15" t="n">
        <v>46344</v>
      </c>
      <c r="C189" s="8" t="s">
        <v>992</v>
      </c>
      <c r="D189" s="8" t="n">
        <v>2</v>
      </c>
      <c r="E189" s="8" t="s">
        <v>2926</v>
      </c>
      <c r="F189" s="11" t="s">
        <v>2927</v>
      </c>
      <c r="G189" s="11" t="s">
        <v>2928</v>
      </c>
      <c r="H189" s="8" t="s">
        <v>2220</v>
      </c>
      <c r="I189" s="11" t="s">
        <v>2929</v>
      </c>
    </row>
    <row r="190" customFormat="false" ht="23.85" hidden="false" customHeight="false" outlineLevel="0" collapsed="false">
      <c r="A190" s="8" t="n">
        <v>86</v>
      </c>
      <c r="B190" s="15" t="n">
        <v>46344</v>
      </c>
      <c r="C190" s="8" t="s">
        <v>992</v>
      </c>
      <c r="D190" s="8" t="n">
        <v>3</v>
      </c>
      <c r="E190" s="8" t="s">
        <v>2930</v>
      </c>
      <c r="F190" s="11" t="s">
        <v>2931</v>
      </c>
      <c r="G190" s="11" t="s">
        <v>2932</v>
      </c>
      <c r="H190" s="8" t="s">
        <v>2933</v>
      </c>
      <c r="I190" s="11" t="s">
        <v>2934</v>
      </c>
    </row>
    <row r="191" customFormat="false" ht="23.85" hidden="false" customHeight="false" outlineLevel="0" collapsed="false">
      <c r="A191" s="8" t="n">
        <v>86</v>
      </c>
      <c r="B191" s="15" t="n">
        <v>46344</v>
      </c>
      <c r="C191" s="8" t="s">
        <v>992</v>
      </c>
      <c r="D191" s="8" t="n">
        <v>4</v>
      </c>
      <c r="E191" s="8" t="s">
        <v>2935</v>
      </c>
      <c r="F191" s="11" t="s">
        <v>2936</v>
      </c>
      <c r="G191" s="11" t="s">
        <v>2937</v>
      </c>
      <c r="H191" s="8" t="s">
        <v>2220</v>
      </c>
      <c r="I191" s="11" t="s">
        <v>2938</v>
      </c>
    </row>
    <row r="192" customFormat="false" ht="46.25" hidden="false" customHeight="false" outlineLevel="0" collapsed="false">
      <c r="A192" s="8" t="n">
        <v>86</v>
      </c>
      <c r="B192" s="15" t="n">
        <v>46344</v>
      </c>
      <c r="C192" s="8" t="s">
        <v>992</v>
      </c>
      <c r="D192" s="8" t="n">
        <v>5</v>
      </c>
      <c r="E192" s="8" t="s">
        <v>2939</v>
      </c>
      <c r="F192" s="11" t="s">
        <v>2940</v>
      </c>
      <c r="G192" s="11" t="s">
        <v>2941</v>
      </c>
      <c r="H192" s="8" t="s">
        <v>2220</v>
      </c>
      <c r="I192" s="11" t="s">
        <v>2942</v>
      </c>
    </row>
    <row r="193" customFormat="false" ht="23.85" hidden="false" customHeight="false" outlineLevel="0" collapsed="false">
      <c r="A193" s="8" t="n">
        <v>86</v>
      </c>
      <c r="B193" s="15" t="n">
        <v>46344</v>
      </c>
      <c r="C193" s="8" t="s">
        <v>992</v>
      </c>
      <c r="D193" s="8" t="n">
        <v>6</v>
      </c>
      <c r="E193" s="8" t="s">
        <v>2235</v>
      </c>
      <c r="F193" s="11" t="s">
        <v>2943</v>
      </c>
      <c r="G193" s="11" t="s">
        <v>2944</v>
      </c>
      <c r="H193" s="8" t="s">
        <v>2220</v>
      </c>
      <c r="I193" s="11" t="s">
        <v>2945</v>
      </c>
    </row>
    <row r="194" customFormat="false" ht="23.85" hidden="false" customHeight="false" outlineLevel="0" collapsed="false">
      <c r="A194" s="8" t="n">
        <v>91</v>
      </c>
      <c r="B194" s="15" t="n">
        <v>46347</v>
      </c>
      <c r="C194" s="8" t="s">
        <v>1043</v>
      </c>
      <c r="D194" s="8" t="n">
        <v>1</v>
      </c>
      <c r="E194" s="8" t="s">
        <v>2946</v>
      </c>
      <c r="F194" s="11" t="s">
        <v>1045</v>
      </c>
      <c r="G194" s="11" t="s">
        <v>2947</v>
      </c>
      <c r="H194" s="8" t="s">
        <v>1051</v>
      </c>
      <c r="I194" s="11" t="s">
        <v>2948</v>
      </c>
    </row>
    <row r="195" customFormat="false" ht="35.05" hidden="false" customHeight="false" outlineLevel="0" collapsed="false">
      <c r="A195" s="8" t="n">
        <v>91</v>
      </c>
      <c r="B195" s="15" t="n">
        <v>46347</v>
      </c>
      <c r="C195" s="8" t="s">
        <v>1043</v>
      </c>
      <c r="D195" s="8" t="n">
        <v>2</v>
      </c>
      <c r="E195" s="8" t="s">
        <v>2949</v>
      </c>
      <c r="F195" s="11" t="s">
        <v>2950</v>
      </c>
      <c r="G195" s="11" t="s">
        <v>2951</v>
      </c>
      <c r="H195" s="8" t="s">
        <v>2220</v>
      </c>
      <c r="I195" s="11" t="s">
        <v>2952</v>
      </c>
    </row>
    <row r="196" customFormat="false" ht="35.05" hidden="false" customHeight="false" outlineLevel="0" collapsed="false">
      <c r="A196" s="8" t="n">
        <v>91</v>
      </c>
      <c r="B196" s="15" t="n">
        <v>46347</v>
      </c>
      <c r="C196" s="8" t="s">
        <v>1043</v>
      </c>
      <c r="D196" s="8" t="n">
        <v>3</v>
      </c>
      <c r="E196" s="8" t="s">
        <v>2953</v>
      </c>
      <c r="F196" s="11" t="s">
        <v>2954</v>
      </c>
      <c r="G196" s="11" t="s">
        <v>2955</v>
      </c>
      <c r="H196" s="8" t="s">
        <v>2220</v>
      </c>
      <c r="I196" s="11" t="s">
        <v>2956</v>
      </c>
    </row>
    <row r="197" customFormat="false" ht="46.25" hidden="false" customHeight="false" outlineLevel="0" collapsed="false">
      <c r="A197" s="8" t="n">
        <v>91</v>
      </c>
      <c r="B197" s="15" t="n">
        <v>46347</v>
      </c>
      <c r="C197" s="8" t="s">
        <v>1043</v>
      </c>
      <c r="D197" s="8" t="n">
        <v>4</v>
      </c>
      <c r="E197" s="8" t="s">
        <v>2957</v>
      </c>
      <c r="F197" s="11" t="s">
        <v>2958</v>
      </c>
      <c r="G197" s="11" t="s">
        <v>2959</v>
      </c>
      <c r="H197" s="8" t="s">
        <v>1051</v>
      </c>
      <c r="I197" s="11" t="s">
        <v>2960</v>
      </c>
    </row>
    <row r="198" customFormat="false" ht="35.05" hidden="false" customHeight="false" outlineLevel="0" collapsed="false">
      <c r="A198" s="8" t="n">
        <v>91</v>
      </c>
      <c r="B198" s="15" t="n">
        <v>46347</v>
      </c>
      <c r="C198" s="8" t="s">
        <v>1043</v>
      </c>
      <c r="D198" s="8" t="n">
        <v>5</v>
      </c>
      <c r="E198" s="8" t="s">
        <v>2961</v>
      </c>
      <c r="F198" s="11" t="s">
        <v>2962</v>
      </c>
      <c r="G198" s="11" t="s">
        <v>2963</v>
      </c>
      <c r="H198" s="8" t="s">
        <v>2220</v>
      </c>
      <c r="I198" s="11" t="s">
        <v>2964</v>
      </c>
    </row>
    <row r="199" customFormat="false" ht="23.85" hidden="false" customHeight="false" outlineLevel="0" collapsed="false">
      <c r="A199" s="8" t="n">
        <v>91</v>
      </c>
      <c r="B199" s="15" t="n">
        <v>46347</v>
      </c>
      <c r="C199" s="8" t="s">
        <v>1043</v>
      </c>
      <c r="D199" s="8" t="n">
        <v>6</v>
      </c>
      <c r="E199" s="8" t="s">
        <v>2651</v>
      </c>
      <c r="F199" s="11" t="s">
        <v>2965</v>
      </c>
      <c r="G199" s="11" t="s">
        <v>2966</v>
      </c>
      <c r="H199" s="8" t="s">
        <v>2220</v>
      </c>
      <c r="I199" s="11" t="s">
        <v>2967</v>
      </c>
    </row>
    <row r="200" customFormat="false" ht="23.85" hidden="false" customHeight="false" outlineLevel="0" collapsed="false">
      <c r="A200" s="8" t="n">
        <v>94</v>
      </c>
      <c r="B200" s="15" t="n">
        <v>46348</v>
      </c>
      <c r="C200" s="8" t="s">
        <v>1076</v>
      </c>
      <c r="D200" s="8" t="n">
        <v>1</v>
      </c>
      <c r="E200" s="8" t="s">
        <v>2968</v>
      </c>
      <c r="F200" s="11" t="s">
        <v>1078</v>
      </c>
      <c r="G200" s="11" t="s">
        <v>2969</v>
      </c>
      <c r="H200" s="8" t="s">
        <v>2970</v>
      </c>
      <c r="I200" s="11" t="s">
        <v>2971</v>
      </c>
    </row>
    <row r="201" customFormat="false" ht="46.25" hidden="false" customHeight="false" outlineLevel="0" collapsed="false">
      <c r="A201" s="8" t="n">
        <v>94</v>
      </c>
      <c r="B201" s="15" t="n">
        <v>46348</v>
      </c>
      <c r="C201" s="8" t="s">
        <v>1076</v>
      </c>
      <c r="D201" s="8" t="n">
        <v>2</v>
      </c>
      <c r="E201" s="8" t="s">
        <v>2972</v>
      </c>
      <c r="F201" s="11" t="s">
        <v>2973</v>
      </c>
      <c r="G201" s="11" t="s">
        <v>2974</v>
      </c>
      <c r="H201" s="8" t="s">
        <v>2220</v>
      </c>
      <c r="I201" s="11" t="s">
        <v>2975</v>
      </c>
    </row>
    <row r="202" customFormat="false" ht="46.25" hidden="false" customHeight="false" outlineLevel="0" collapsed="false">
      <c r="A202" s="8" t="n">
        <v>94</v>
      </c>
      <c r="B202" s="15" t="n">
        <v>46348</v>
      </c>
      <c r="C202" s="8" t="s">
        <v>1076</v>
      </c>
      <c r="D202" s="8" t="n">
        <v>3</v>
      </c>
      <c r="E202" s="8" t="s">
        <v>2976</v>
      </c>
      <c r="F202" s="11" t="s">
        <v>2977</v>
      </c>
      <c r="G202" s="11" t="s">
        <v>2978</v>
      </c>
      <c r="H202" s="8" t="s">
        <v>2979</v>
      </c>
      <c r="I202" s="11" t="s">
        <v>2980</v>
      </c>
    </row>
    <row r="203" customFormat="false" ht="46.25" hidden="false" customHeight="false" outlineLevel="0" collapsed="false">
      <c r="A203" s="8" t="n">
        <v>94</v>
      </c>
      <c r="B203" s="15" t="n">
        <v>46348</v>
      </c>
      <c r="C203" s="8" t="s">
        <v>1076</v>
      </c>
      <c r="D203" s="8" t="n">
        <v>4</v>
      </c>
      <c r="E203" s="8" t="s">
        <v>2981</v>
      </c>
      <c r="F203" s="11" t="s">
        <v>2982</v>
      </c>
      <c r="G203" s="11" t="s">
        <v>2983</v>
      </c>
      <c r="H203" s="8" t="s">
        <v>2220</v>
      </c>
      <c r="I203" s="11" t="s">
        <v>2984</v>
      </c>
    </row>
    <row r="204" customFormat="false" ht="35.05" hidden="false" customHeight="false" outlineLevel="0" collapsed="false">
      <c r="A204" s="8" t="n">
        <v>94</v>
      </c>
      <c r="B204" s="15" t="n">
        <v>46348</v>
      </c>
      <c r="C204" s="8" t="s">
        <v>1076</v>
      </c>
      <c r="D204" s="8" t="n">
        <v>5</v>
      </c>
      <c r="E204" s="8" t="s">
        <v>2985</v>
      </c>
      <c r="F204" s="11" t="s">
        <v>2986</v>
      </c>
      <c r="G204" s="11" t="s">
        <v>2987</v>
      </c>
      <c r="H204" s="8" t="s">
        <v>2220</v>
      </c>
      <c r="I204" s="11" t="s">
        <v>2988</v>
      </c>
    </row>
    <row r="205" customFormat="false" ht="23.85" hidden="false" customHeight="false" outlineLevel="0" collapsed="false">
      <c r="A205" s="8" t="n">
        <v>94</v>
      </c>
      <c r="B205" s="15" t="n">
        <v>46348</v>
      </c>
      <c r="C205" s="8" t="s">
        <v>1076</v>
      </c>
      <c r="D205" s="8" t="n">
        <v>6</v>
      </c>
      <c r="E205" s="8" t="s">
        <v>2651</v>
      </c>
      <c r="F205" s="11" t="s">
        <v>2989</v>
      </c>
      <c r="G205" s="11" t="s">
        <v>2990</v>
      </c>
      <c r="H205" s="8" t="s">
        <v>2220</v>
      </c>
      <c r="I205" s="11" t="s">
        <v>2991</v>
      </c>
    </row>
    <row r="206" customFormat="false" ht="23.85" hidden="false" customHeight="false" outlineLevel="0" collapsed="false">
      <c r="A206" s="8" t="n">
        <v>95</v>
      </c>
      <c r="B206" s="15" t="n">
        <v>46349</v>
      </c>
      <c r="C206" s="8" t="s">
        <v>1087</v>
      </c>
      <c r="D206" s="8" t="n">
        <v>1</v>
      </c>
      <c r="E206" s="8" t="s">
        <v>2992</v>
      </c>
      <c r="F206" s="11" t="s">
        <v>1089</v>
      </c>
      <c r="G206" s="11" t="s">
        <v>2993</v>
      </c>
      <c r="H206" s="8" t="s">
        <v>2994</v>
      </c>
      <c r="I206" s="11" t="s">
        <v>2995</v>
      </c>
    </row>
    <row r="207" customFormat="false" ht="23.85" hidden="false" customHeight="false" outlineLevel="0" collapsed="false">
      <c r="A207" s="8" t="n">
        <v>95</v>
      </c>
      <c r="B207" s="15" t="n">
        <v>46349</v>
      </c>
      <c r="C207" s="8" t="s">
        <v>1087</v>
      </c>
      <c r="D207" s="8" t="n">
        <v>2</v>
      </c>
      <c r="E207" s="8" t="s">
        <v>2996</v>
      </c>
      <c r="F207" s="11" t="s">
        <v>2997</v>
      </c>
      <c r="G207" s="11" t="s">
        <v>2998</v>
      </c>
      <c r="H207" s="8" t="s">
        <v>2220</v>
      </c>
      <c r="I207" s="11" t="s">
        <v>2999</v>
      </c>
    </row>
    <row r="208" customFormat="false" ht="23.85" hidden="false" customHeight="false" outlineLevel="0" collapsed="false">
      <c r="A208" s="8" t="n">
        <v>95</v>
      </c>
      <c r="B208" s="15" t="n">
        <v>46349</v>
      </c>
      <c r="C208" s="8" t="s">
        <v>1087</v>
      </c>
      <c r="D208" s="8" t="n">
        <v>3</v>
      </c>
      <c r="E208" s="8" t="s">
        <v>3000</v>
      </c>
      <c r="F208" s="11" t="s">
        <v>3001</v>
      </c>
      <c r="G208" s="11" t="s">
        <v>3002</v>
      </c>
      <c r="H208" s="8" t="s">
        <v>3003</v>
      </c>
      <c r="I208" s="11" t="s">
        <v>3004</v>
      </c>
    </row>
    <row r="209" customFormat="false" ht="23.85" hidden="false" customHeight="false" outlineLevel="0" collapsed="false">
      <c r="A209" s="8" t="n">
        <v>95</v>
      </c>
      <c r="B209" s="15" t="n">
        <v>46349</v>
      </c>
      <c r="C209" s="8" t="s">
        <v>1087</v>
      </c>
      <c r="D209" s="8" t="n">
        <v>4</v>
      </c>
      <c r="E209" s="8" t="s">
        <v>3005</v>
      </c>
      <c r="F209" s="11" t="s">
        <v>3006</v>
      </c>
      <c r="G209" s="11" t="s">
        <v>3007</v>
      </c>
      <c r="H209" s="8" t="s">
        <v>2220</v>
      </c>
      <c r="I209" s="11" t="s">
        <v>3008</v>
      </c>
    </row>
    <row r="210" customFormat="false" ht="46.25" hidden="false" customHeight="false" outlineLevel="0" collapsed="false">
      <c r="A210" s="8" t="n">
        <v>95</v>
      </c>
      <c r="B210" s="15" t="n">
        <v>46349</v>
      </c>
      <c r="C210" s="8" t="s">
        <v>1087</v>
      </c>
      <c r="D210" s="8" t="n">
        <v>5</v>
      </c>
      <c r="E210" s="8" t="s">
        <v>2302</v>
      </c>
      <c r="F210" s="11" t="s">
        <v>3009</v>
      </c>
      <c r="G210" s="11" t="s">
        <v>3010</v>
      </c>
      <c r="H210" s="8" t="s">
        <v>2220</v>
      </c>
      <c r="I210" s="11" t="s">
        <v>3011</v>
      </c>
    </row>
    <row r="211" customFormat="false" ht="23.85" hidden="false" customHeight="false" outlineLevel="0" collapsed="false">
      <c r="A211" s="8" t="n">
        <v>95</v>
      </c>
      <c r="B211" s="15" t="n">
        <v>46349</v>
      </c>
      <c r="C211" s="8" t="s">
        <v>1087</v>
      </c>
      <c r="D211" s="8" t="n">
        <v>6</v>
      </c>
      <c r="E211" s="8" t="s">
        <v>2235</v>
      </c>
      <c r="F211" s="11" t="s">
        <v>3012</v>
      </c>
      <c r="G211" s="11" t="s">
        <v>3013</v>
      </c>
      <c r="H211" s="8" t="s">
        <v>2220</v>
      </c>
      <c r="I211" s="11" t="s">
        <v>3014</v>
      </c>
    </row>
    <row r="212" customFormat="false" ht="23.85" hidden="false" customHeight="false" outlineLevel="0" collapsed="false">
      <c r="A212" s="8" t="n">
        <v>98</v>
      </c>
      <c r="B212" s="15" t="n">
        <v>46350</v>
      </c>
      <c r="C212" s="8" t="s">
        <v>1114</v>
      </c>
      <c r="D212" s="8" t="n">
        <v>1</v>
      </c>
      <c r="E212" s="8" t="s">
        <v>3015</v>
      </c>
      <c r="F212" s="11" t="s">
        <v>1116</v>
      </c>
      <c r="G212" s="11" t="s">
        <v>3016</v>
      </c>
      <c r="H212" s="8" t="s">
        <v>3017</v>
      </c>
      <c r="I212" s="11" t="s">
        <v>3018</v>
      </c>
    </row>
    <row r="213" customFormat="false" ht="23.85" hidden="false" customHeight="false" outlineLevel="0" collapsed="false">
      <c r="A213" s="8" t="n">
        <v>98</v>
      </c>
      <c r="B213" s="15" t="n">
        <v>46350</v>
      </c>
      <c r="C213" s="8" t="s">
        <v>1114</v>
      </c>
      <c r="D213" s="8" t="n">
        <v>2</v>
      </c>
      <c r="E213" s="8" t="s">
        <v>2217</v>
      </c>
      <c r="F213" s="11" t="s">
        <v>3019</v>
      </c>
      <c r="G213" s="11" t="s">
        <v>3020</v>
      </c>
      <c r="H213" s="8" t="s">
        <v>2220</v>
      </c>
      <c r="I213" s="11" t="s">
        <v>3021</v>
      </c>
    </row>
    <row r="214" customFormat="false" ht="46.25" hidden="false" customHeight="false" outlineLevel="0" collapsed="false">
      <c r="A214" s="8" t="n">
        <v>98</v>
      </c>
      <c r="B214" s="15" t="n">
        <v>46350</v>
      </c>
      <c r="C214" s="8" t="s">
        <v>1114</v>
      </c>
      <c r="D214" s="8" t="n">
        <v>3</v>
      </c>
      <c r="E214" s="8" t="s">
        <v>3022</v>
      </c>
      <c r="F214" s="11" t="s">
        <v>3023</v>
      </c>
      <c r="G214" s="11" t="s">
        <v>3024</v>
      </c>
      <c r="H214" s="8" t="s">
        <v>2220</v>
      </c>
      <c r="I214" s="11" t="s">
        <v>3025</v>
      </c>
    </row>
    <row r="215" customFormat="false" ht="46.25" hidden="false" customHeight="false" outlineLevel="0" collapsed="false">
      <c r="A215" s="8" t="n">
        <v>98</v>
      </c>
      <c r="B215" s="15" t="n">
        <v>46350</v>
      </c>
      <c r="C215" s="8" t="s">
        <v>1114</v>
      </c>
      <c r="D215" s="8" t="n">
        <v>4</v>
      </c>
      <c r="E215" s="8" t="s">
        <v>2227</v>
      </c>
      <c r="F215" s="11" t="s">
        <v>3026</v>
      </c>
      <c r="G215" s="11" t="s">
        <v>3027</v>
      </c>
      <c r="H215" s="8" t="s">
        <v>3028</v>
      </c>
      <c r="I215" s="11" t="s">
        <v>3029</v>
      </c>
    </row>
    <row r="216" customFormat="false" ht="23.85" hidden="false" customHeight="false" outlineLevel="0" collapsed="false">
      <c r="A216" s="8" t="n">
        <v>98</v>
      </c>
      <c r="B216" s="15" t="n">
        <v>46350</v>
      </c>
      <c r="C216" s="8" t="s">
        <v>1114</v>
      </c>
      <c r="D216" s="8" t="n">
        <v>5</v>
      </c>
      <c r="E216" s="8" t="s">
        <v>3030</v>
      </c>
      <c r="F216" s="11" t="s">
        <v>3031</v>
      </c>
      <c r="G216" s="11" t="s">
        <v>3032</v>
      </c>
      <c r="H216" s="8" t="s">
        <v>2220</v>
      </c>
      <c r="I216" s="11" t="s">
        <v>3033</v>
      </c>
    </row>
    <row r="217" customFormat="false" ht="23.85" hidden="false" customHeight="false" outlineLevel="0" collapsed="false">
      <c r="A217" s="8" t="n">
        <v>98</v>
      </c>
      <c r="B217" s="15" t="n">
        <v>46350</v>
      </c>
      <c r="C217" s="8" t="s">
        <v>1114</v>
      </c>
      <c r="D217" s="8" t="n">
        <v>6</v>
      </c>
      <c r="E217" s="8" t="s">
        <v>2235</v>
      </c>
      <c r="F217" s="11" t="s">
        <v>3034</v>
      </c>
      <c r="G217" s="11" t="s">
        <v>3035</v>
      </c>
      <c r="H217" s="8" t="s">
        <v>2220</v>
      </c>
      <c r="I217" s="11" t="s">
        <v>3036</v>
      </c>
    </row>
    <row r="218" customFormat="false" ht="23.85" hidden="false" customHeight="false" outlineLevel="0" collapsed="false">
      <c r="A218" s="8" t="n">
        <v>103</v>
      </c>
      <c r="B218" s="15" t="n">
        <v>46353</v>
      </c>
      <c r="C218" s="8" t="s">
        <v>1166</v>
      </c>
      <c r="D218" s="8" t="n">
        <v>1</v>
      </c>
      <c r="E218" s="8" t="s">
        <v>3037</v>
      </c>
      <c r="F218" s="11" t="s">
        <v>1168</v>
      </c>
      <c r="G218" s="11" t="s">
        <v>3038</v>
      </c>
      <c r="H218" s="8" t="s">
        <v>3039</v>
      </c>
      <c r="I218" s="11" t="s">
        <v>3040</v>
      </c>
    </row>
    <row r="219" customFormat="false" ht="23.85" hidden="false" customHeight="false" outlineLevel="0" collapsed="false">
      <c r="A219" s="8" t="n">
        <v>103</v>
      </c>
      <c r="B219" s="15" t="n">
        <v>46353</v>
      </c>
      <c r="C219" s="8" t="s">
        <v>1166</v>
      </c>
      <c r="D219" s="8" t="n">
        <v>2</v>
      </c>
      <c r="E219" s="8" t="s">
        <v>3041</v>
      </c>
      <c r="F219" s="11" t="s">
        <v>3042</v>
      </c>
      <c r="G219" s="11" t="s">
        <v>3043</v>
      </c>
      <c r="H219" s="8" t="s">
        <v>2220</v>
      </c>
      <c r="I219" s="11" t="s">
        <v>3044</v>
      </c>
    </row>
    <row r="220" customFormat="false" ht="35.05" hidden="false" customHeight="false" outlineLevel="0" collapsed="false">
      <c r="A220" s="8" t="n">
        <v>103</v>
      </c>
      <c r="B220" s="15" t="n">
        <v>46353</v>
      </c>
      <c r="C220" s="8" t="s">
        <v>1166</v>
      </c>
      <c r="D220" s="8" t="n">
        <v>3</v>
      </c>
      <c r="E220" s="8" t="s">
        <v>3045</v>
      </c>
      <c r="F220" s="11" t="s">
        <v>3046</v>
      </c>
      <c r="G220" s="11" t="s">
        <v>3047</v>
      </c>
      <c r="H220" s="8" t="s">
        <v>2220</v>
      </c>
      <c r="I220" s="11" t="s">
        <v>3048</v>
      </c>
    </row>
    <row r="221" customFormat="false" ht="46.25" hidden="false" customHeight="false" outlineLevel="0" collapsed="false">
      <c r="A221" s="8" t="n">
        <v>103</v>
      </c>
      <c r="B221" s="15" t="n">
        <v>46353</v>
      </c>
      <c r="C221" s="8" t="s">
        <v>1166</v>
      </c>
      <c r="D221" s="8" t="n">
        <v>4</v>
      </c>
      <c r="E221" s="8" t="s">
        <v>3049</v>
      </c>
      <c r="F221" s="11" t="s">
        <v>3050</v>
      </c>
      <c r="G221" s="11" t="s">
        <v>3051</v>
      </c>
      <c r="H221" s="8" t="s">
        <v>3052</v>
      </c>
      <c r="I221" s="11" t="s">
        <v>3053</v>
      </c>
    </row>
    <row r="222" customFormat="false" ht="23.85" hidden="false" customHeight="false" outlineLevel="0" collapsed="false">
      <c r="A222" s="8" t="n">
        <v>103</v>
      </c>
      <c r="B222" s="15" t="n">
        <v>46353</v>
      </c>
      <c r="C222" s="8" t="s">
        <v>1166</v>
      </c>
      <c r="D222" s="8" t="n">
        <v>5</v>
      </c>
      <c r="E222" s="8" t="s">
        <v>3054</v>
      </c>
      <c r="F222" s="11" t="s">
        <v>3055</v>
      </c>
      <c r="G222" s="11" t="s">
        <v>3056</v>
      </c>
      <c r="H222" s="8" t="s">
        <v>2220</v>
      </c>
      <c r="I222" s="11" t="s">
        <v>3057</v>
      </c>
    </row>
    <row r="223" customFormat="false" ht="23.85" hidden="false" customHeight="false" outlineLevel="0" collapsed="false">
      <c r="A223" s="8" t="n">
        <v>103</v>
      </c>
      <c r="B223" s="15" t="n">
        <v>46353</v>
      </c>
      <c r="C223" s="8" t="s">
        <v>1166</v>
      </c>
      <c r="D223" s="8" t="n">
        <v>6</v>
      </c>
      <c r="E223" s="8" t="s">
        <v>2235</v>
      </c>
      <c r="F223" s="11" t="s">
        <v>3058</v>
      </c>
      <c r="G223" s="11" t="s">
        <v>3059</v>
      </c>
      <c r="H223" s="8" t="s">
        <v>2220</v>
      </c>
      <c r="I223" s="11" t="s">
        <v>3060</v>
      </c>
    </row>
    <row r="224" customFormat="false" ht="23.85" hidden="false" customHeight="false" outlineLevel="0" collapsed="false">
      <c r="A224" s="8" t="n">
        <v>107</v>
      </c>
      <c r="B224" s="15" t="n">
        <v>46355</v>
      </c>
      <c r="C224" s="8" t="s">
        <v>1208</v>
      </c>
      <c r="D224" s="8" t="n">
        <v>1</v>
      </c>
      <c r="E224" s="8" t="s">
        <v>3061</v>
      </c>
      <c r="F224" s="11" t="s">
        <v>1210</v>
      </c>
      <c r="G224" s="11" t="s">
        <v>3062</v>
      </c>
      <c r="H224" s="8" t="s">
        <v>1215</v>
      </c>
      <c r="I224" s="11" t="s">
        <v>3063</v>
      </c>
    </row>
    <row r="225" customFormat="false" ht="35.05" hidden="false" customHeight="false" outlineLevel="0" collapsed="false">
      <c r="A225" s="8" t="n">
        <v>107</v>
      </c>
      <c r="B225" s="15" t="n">
        <v>46355</v>
      </c>
      <c r="C225" s="8" t="s">
        <v>1208</v>
      </c>
      <c r="D225" s="8" t="n">
        <v>2</v>
      </c>
      <c r="E225" s="8" t="s">
        <v>2542</v>
      </c>
      <c r="F225" s="11" t="s">
        <v>3064</v>
      </c>
      <c r="G225" s="11" t="s">
        <v>3065</v>
      </c>
      <c r="H225" s="8" t="s">
        <v>2220</v>
      </c>
      <c r="I225" s="11" t="s">
        <v>3066</v>
      </c>
    </row>
    <row r="226" customFormat="false" ht="23.85" hidden="false" customHeight="false" outlineLevel="0" collapsed="false">
      <c r="A226" s="8" t="n">
        <v>107</v>
      </c>
      <c r="B226" s="15" t="n">
        <v>46355</v>
      </c>
      <c r="C226" s="8" t="s">
        <v>1208</v>
      </c>
      <c r="D226" s="8" t="n">
        <v>3</v>
      </c>
      <c r="E226" s="8" t="s">
        <v>3067</v>
      </c>
      <c r="F226" s="11" t="s">
        <v>3068</v>
      </c>
      <c r="G226" s="11" t="s">
        <v>3069</v>
      </c>
      <c r="H226" s="8" t="s">
        <v>1215</v>
      </c>
      <c r="I226" s="11" t="s">
        <v>3070</v>
      </c>
    </row>
    <row r="227" customFormat="false" ht="23.85" hidden="false" customHeight="false" outlineLevel="0" collapsed="false">
      <c r="A227" s="8" t="n">
        <v>107</v>
      </c>
      <c r="B227" s="15" t="n">
        <v>46355</v>
      </c>
      <c r="C227" s="8" t="s">
        <v>1208</v>
      </c>
      <c r="D227" s="8" t="n">
        <v>4</v>
      </c>
      <c r="E227" s="8" t="s">
        <v>3071</v>
      </c>
      <c r="F227" s="11" t="s">
        <v>3072</v>
      </c>
      <c r="G227" s="11" t="s">
        <v>3073</v>
      </c>
      <c r="H227" s="8" t="s">
        <v>2220</v>
      </c>
      <c r="I227" s="11" t="s">
        <v>3074</v>
      </c>
    </row>
    <row r="228" customFormat="false" ht="46.25" hidden="false" customHeight="false" outlineLevel="0" collapsed="false">
      <c r="A228" s="8" t="n">
        <v>107</v>
      </c>
      <c r="B228" s="15" t="n">
        <v>46355</v>
      </c>
      <c r="C228" s="8" t="s">
        <v>1208</v>
      </c>
      <c r="D228" s="8" t="n">
        <v>5</v>
      </c>
      <c r="E228" s="8" t="s">
        <v>3075</v>
      </c>
      <c r="F228" s="11" t="s">
        <v>3076</v>
      </c>
      <c r="G228" s="11" t="s">
        <v>3077</v>
      </c>
      <c r="H228" s="8" t="s">
        <v>2220</v>
      </c>
      <c r="I228" s="11" t="s">
        <v>3078</v>
      </c>
    </row>
    <row r="229" customFormat="false" ht="23.85" hidden="false" customHeight="false" outlineLevel="0" collapsed="false">
      <c r="A229" s="8" t="n">
        <v>107</v>
      </c>
      <c r="B229" s="15" t="n">
        <v>46355</v>
      </c>
      <c r="C229" s="8" t="s">
        <v>1208</v>
      </c>
      <c r="D229" s="8" t="n">
        <v>6</v>
      </c>
      <c r="E229" s="8" t="s">
        <v>2235</v>
      </c>
      <c r="F229" s="11" t="s">
        <v>3079</v>
      </c>
      <c r="G229" s="11" t="s">
        <v>3080</v>
      </c>
      <c r="H229" s="8" t="s">
        <v>2220</v>
      </c>
      <c r="I229" s="11" t="s">
        <v>3081</v>
      </c>
    </row>
    <row r="230" customFormat="false" ht="23.85" hidden="false" customHeight="false" outlineLevel="0" collapsed="false">
      <c r="A230" s="8" t="n">
        <v>110</v>
      </c>
      <c r="B230" s="15" t="n">
        <v>46356</v>
      </c>
      <c r="C230" s="8" t="s">
        <v>1239</v>
      </c>
      <c r="D230" s="8" t="n">
        <v>1</v>
      </c>
      <c r="E230" s="8" t="s">
        <v>3082</v>
      </c>
      <c r="F230" s="11" t="s">
        <v>1241</v>
      </c>
      <c r="G230" s="11" t="s">
        <v>3083</v>
      </c>
      <c r="H230" s="8" t="s">
        <v>3084</v>
      </c>
      <c r="I230" s="11" t="s">
        <v>3085</v>
      </c>
    </row>
    <row r="231" customFormat="false" ht="46.25" hidden="false" customHeight="false" outlineLevel="0" collapsed="false">
      <c r="A231" s="8" t="n">
        <v>110</v>
      </c>
      <c r="B231" s="15" t="n">
        <v>46356</v>
      </c>
      <c r="C231" s="8" t="s">
        <v>1239</v>
      </c>
      <c r="D231" s="8" t="n">
        <v>2</v>
      </c>
      <c r="E231" s="8" t="s">
        <v>3086</v>
      </c>
      <c r="F231" s="11" t="s">
        <v>3087</v>
      </c>
      <c r="G231" s="11" t="s">
        <v>3088</v>
      </c>
      <c r="H231" s="8" t="s">
        <v>2220</v>
      </c>
      <c r="I231" s="11" t="s">
        <v>3089</v>
      </c>
    </row>
    <row r="232" customFormat="false" ht="23.85" hidden="false" customHeight="false" outlineLevel="0" collapsed="false">
      <c r="A232" s="8" t="n">
        <v>110</v>
      </c>
      <c r="B232" s="15" t="n">
        <v>46356</v>
      </c>
      <c r="C232" s="8" t="s">
        <v>1239</v>
      </c>
      <c r="D232" s="8" t="n">
        <v>3</v>
      </c>
      <c r="E232" s="8" t="s">
        <v>3090</v>
      </c>
      <c r="F232" s="11" t="s">
        <v>3091</v>
      </c>
      <c r="G232" s="11" t="s">
        <v>3092</v>
      </c>
      <c r="H232" s="8" t="s">
        <v>2220</v>
      </c>
      <c r="I232" s="11" t="s">
        <v>3093</v>
      </c>
    </row>
    <row r="233" customFormat="false" ht="23.85" hidden="false" customHeight="false" outlineLevel="0" collapsed="false">
      <c r="A233" s="8" t="n">
        <v>110</v>
      </c>
      <c r="B233" s="15" t="n">
        <v>46356</v>
      </c>
      <c r="C233" s="8" t="s">
        <v>1239</v>
      </c>
      <c r="D233" s="8" t="n">
        <v>4</v>
      </c>
      <c r="E233" s="8" t="s">
        <v>3094</v>
      </c>
      <c r="F233" s="11" t="s">
        <v>3095</v>
      </c>
      <c r="G233" s="11" t="s">
        <v>3096</v>
      </c>
      <c r="H233" s="8" t="s">
        <v>3097</v>
      </c>
      <c r="I233" s="11" t="s">
        <v>3098</v>
      </c>
    </row>
    <row r="234" customFormat="false" ht="23.85" hidden="false" customHeight="false" outlineLevel="0" collapsed="false">
      <c r="A234" s="8" t="n">
        <v>110</v>
      </c>
      <c r="B234" s="15" t="n">
        <v>46356</v>
      </c>
      <c r="C234" s="8" t="s">
        <v>1239</v>
      </c>
      <c r="D234" s="8" t="n">
        <v>5</v>
      </c>
      <c r="E234" s="8" t="s">
        <v>3099</v>
      </c>
      <c r="F234" s="11" t="s">
        <v>3100</v>
      </c>
      <c r="G234" s="11" t="s">
        <v>3101</v>
      </c>
      <c r="H234" s="8" t="s">
        <v>3084</v>
      </c>
      <c r="I234" s="11" t="s">
        <v>3102</v>
      </c>
    </row>
    <row r="235" customFormat="false" ht="23.85" hidden="false" customHeight="false" outlineLevel="0" collapsed="false">
      <c r="A235" s="8" t="n">
        <v>110</v>
      </c>
      <c r="B235" s="15" t="n">
        <v>46356</v>
      </c>
      <c r="C235" s="8" t="s">
        <v>1239</v>
      </c>
      <c r="D235" s="8" t="n">
        <v>6</v>
      </c>
      <c r="E235" s="8" t="s">
        <v>2235</v>
      </c>
      <c r="F235" s="11" t="s">
        <v>3103</v>
      </c>
      <c r="G235" s="11" t="s">
        <v>3104</v>
      </c>
      <c r="H235" s="8" t="s">
        <v>2220</v>
      </c>
      <c r="I235" s="11" t="s">
        <v>3105</v>
      </c>
    </row>
    <row r="236" customFormat="false" ht="23.85" hidden="false" customHeight="false" outlineLevel="0" collapsed="false">
      <c r="A236" s="8" t="n">
        <v>113</v>
      </c>
      <c r="B236" s="15" t="n">
        <v>46358</v>
      </c>
      <c r="C236" s="8" t="s">
        <v>1272</v>
      </c>
      <c r="D236" s="8" t="n">
        <v>1</v>
      </c>
      <c r="E236" s="8" t="s">
        <v>3106</v>
      </c>
      <c r="F236" s="11" t="s">
        <v>1274</v>
      </c>
      <c r="G236" s="11" t="s">
        <v>3107</v>
      </c>
      <c r="H236" s="8" t="s">
        <v>3108</v>
      </c>
      <c r="I236" s="11" t="s">
        <v>3109</v>
      </c>
    </row>
    <row r="237" customFormat="false" ht="35.05" hidden="false" customHeight="false" outlineLevel="0" collapsed="false">
      <c r="A237" s="8" t="n">
        <v>113</v>
      </c>
      <c r="B237" s="15" t="n">
        <v>46358</v>
      </c>
      <c r="C237" s="8" t="s">
        <v>1272</v>
      </c>
      <c r="D237" s="8" t="n">
        <v>2</v>
      </c>
      <c r="E237" s="8" t="s">
        <v>3110</v>
      </c>
      <c r="F237" s="11" t="s">
        <v>3111</v>
      </c>
      <c r="G237" s="11" t="s">
        <v>3112</v>
      </c>
      <c r="H237" s="8" t="s">
        <v>3113</v>
      </c>
      <c r="I237" s="11" t="s">
        <v>3114</v>
      </c>
    </row>
    <row r="238" customFormat="false" ht="35.05" hidden="false" customHeight="false" outlineLevel="0" collapsed="false">
      <c r="A238" s="8" t="n">
        <v>113</v>
      </c>
      <c r="B238" s="15" t="n">
        <v>46358</v>
      </c>
      <c r="C238" s="8" t="s">
        <v>1272</v>
      </c>
      <c r="D238" s="8" t="n">
        <v>3</v>
      </c>
      <c r="E238" s="8" t="s">
        <v>3115</v>
      </c>
      <c r="F238" s="11" t="s">
        <v>3116</v>
      </c>
      <c r="G238" s="11" t="s">
        <v>3117</v>
      </c>
      <c r="H238" s="8" t="s">
        <v>2220</v>
      </c>
      <c r="I238" s="11" t="s">
        <v>3118</v>
      </c>
    </row>
    <row r="239" customFormat="false" ht="23.85" hidden="false" customHeight="false" outlineLevel="0" collapsed="false">
      <c r="A239" s="8" t="n">
        <v>113</v>
      </c>
      <c r="B239" s="15" t="n">
        <v>46358</v>
      </c>
      <c r="C239" s="8" t="s">
        <v>1272</v>
      </c>
      <c r="D239" s="8" t="n">
        <v>4</v>
      </c>
      <c r="E239" s="8" t="s">
        <v>3119</v>
      </c>
      <c r="F239" s="11" t="s">
        <v>3120</v>
      </c>
      <c r="G239" s="11" t="s">
        <v>3121</v>
      </c>
      <c r="H239" s="8" t="s">
        <v>2220</v>
      </c>
      <c r="I239" s="11" t="s">
        <v>3122</v>
      </c>
    </row>
    <row r="240" customFormat="false" ht="23.85" hidden="false" customHeight="false" outlineLevel="0" collapsed="false">
      <c r="A240" s="8" t="n">
        <v>113</v>
      </c>
      <c r="B240" s="15" t="n">
        <v>46358</v>
      </c>
      <c r="C240" s="8" t="s">
        <v>1272</v>
      </c>
      <c r="D240" s="8" t="n">
        <v>5</v>
      </c>
      <c r="E240" s="8" t="s">
        <v>3123</v>
      </c>
      <c r="F240" s="11" t="s">
        <v>3124</v>
      </c>
      <c r="G240" s="11" t="s">
        <v>3125</v>
      </c>
      <c r="H240" s="8" t="s">
        <v>2220</v>
      </c>
      <c r="I240" s="11" t="s">
        <v>3126</v>
      </c>
    </row>
    <row r="241" customFormat="false" ht="23.85" hidden="false" customHeight="false" outlineLevel="0" collapsed="false">
      <c r="A241" s="8" t="n">
        <v>113</v>
      </c>
      <c r="B241" s="15" t="n">
        <v>46358</v>
      </c>
      <c r="C241" s="8" t="s">
        <v>1272</v>
      </c>
      <c r="D241" s="8" t="n">
        <v>6</v>
      </c>
      <c r="E241" s="8" t="s">
        <v>2235</v>
      </c>
      <c r="F241" s="11" t="s">
        <v>3127</v>
      </c>
      <c r="G241" s="11" t="s">
        <v>3128</v>
      </c>
      <c r="H241" s="8" t="s">
        <v>2220</v>
      </c>
      <c r="I241" s="11" t="s">
        <v>3129</v>
      </c>
    </row>
    <row r="242" customFormat="false" ht="23.85" hidden="false" customHeight="false" outlineLevel="0" collapsed="false">
      <c r="A242" s="8" t="n">
        <v>117</v>
      </c>
      <c r="B242" s="15" t="n">
        <v>46360</v>
      </c>
      <c r="C242" s="8" t="s">
        <v>1313</v>
      </c>
      <c r="D242" s="8" t="n">
        <v>1</v>
      </c>
      <c r="E242" s="8" t="s">
        <v>2289</v>
      </c>
      <c r="F242" s="11" t="s">
        <v>1315</v>
      </c>
      <c r="G242" s="11" t="s">
        <v>3130</v>
      </c>
      <c r="H242" s="8" t="s">
        <v>3131</v>
      </c>
      <c r="I242" s="11" t="s">
        <v>3132</v>
      </c>
    </row>
    <row r="243" customFormat="false" ht="23.85" hidden="false" customHeight="false" outlineLevel="0" collapsed="false">
      <c r="A243" s="8" t="n">
        <v>117</v>
      </c>
      <c r="B243" s="15" t="n">
        <v>46360</v>
      </c>
      <c r="C243" s="8" t="s">
        <v>1313</v>
      </c>
      <c r="D243" s="8" t="n">
        <v>2</v>
      </c>
      <c r="E243" s="8" t="s">
        <v>3133</v>
      </c>
      <c r="F243" s="11" t="s">
        <v>3134</v>
      </c>
      <c r="G243" s="11" t="s">
        <v>3135</v>
      </c>
      <c r="H243" s="8" t="s">
        <v>2220</v>
      </c>
      <c r="I243" s="11" t="s">
        <v>3136</v>
      </c>
    </row>
    <row r="244" customFormat="false" ht="23.85" hidden="false" customHeight="false" outlineLevel="0" collapsed="false">
      <c r="A244" s="8" t="n">
        <v>117</v>
      </c>
      <c r="B244" s="15" t="n">
        <v>46360</v>
      </c>
      <c r="C244" s="8" t="s">
        <v>1313</v>
      </c>
      <c r="D244" s="8" t="n">
        <v>3</v>
      </c>
      <c r="E244" s="8" t="s">
        <v>3137</v>
      </c>
      <c r="F244" s="11" t="s">
        <v>3138</v>
      </c>
      <c r="G244" s="11" t="s">
        <v>3139</v>
      </c>
      <c r="H244" s="8" t="s">
        <v>2220</v>
      </c>
      <c r="I244" s="11" t="s">
        <v>3140</v>
      </c>
    </row>
    <row r="245" customFormat="false" ht="23.85" hidden="false" customHeight="false" outlineLevel="0" collapsed="false">
      <c r="A245" s="8" t="n">
        <v>117</v>
      </c>
      <c r="B245" s="15" t="n">
        <v>46360</v>
      </c>
      <c r="C245" s="8" t="s">
        <v>1313</v>
      </c>
      <c r="D245" s="8" t="n">
        <v>4</v>
      </c>
      <c r="E245" s="8" t="s">
        <v>3141</v>
      </c>
      <c r="F245" s="11" t="s">
        <v>3142</v>
      </c>
      <c r="G245" s="11" t="s">
        <v>3143</v>
      </c>
      <c r="H245" s="8" t="s">
        <v>3144</v>
      </c>
      <c r="I245" s="11" t="s">
        <v>3145</v>
      </c>
    </row>
    <row r="246" customFormat="false" ht="46.25" hidden="false" customHeight="false" outlineLevel="0" collapsed="false">
      <c r="A246" s="8" t="n">
        <v>117</v>
      </c>
      <c r="B246" s="15" t="n">
        <v>46360</v>
      </c>
      <c r="C246" s="8" t="s">
        <v>1313</v>
      </c>
      <c r="D246" s="8" t="n">
        <v>5</v>
      </c>
      <c r="E246" s="8" t="s">
        <v>3146</v>
      </c>
      <c r="F246" s="11" t="s">
        <v>3147</v>
      </c>
      <c r="G246" s="11" t="s">
        <v>3148</v>
      </c>
      <c r="H246" s="8" t="s">
        <v>2220</v>
      </c>
      <c r="I246" s="11" t="s">
        <v>3149</v>
      </c>
    </row>
    <row r="247" customFormat="false" ht="23.85" hidden="false" customHeight="false" outlineLevel="0" collapsed="false">
      <c r="A247" s="8" t="n">
        <v>117</v>
      </c>
      <c r="B247" s="15" t="n">
        <v>46360</v>
      </c>
      <c r="C247" s="8" t="s">
        <v>1313</v>
      </c>
      <c r="D247" s="8" t="n">
        <v>6</v>
      </c>
      <c r="E247" s="8" t="s">
        <v>2235</v>
      </c>
      <c r="F247" s="11" t="s">
        <v>3150</v>
      </c>
      <c r="G247" s="11" t="s">
        <v>3151</v>
      </c>
      <c r="H247" s="8" t="s">
        <v>2220</v>
      </c>
      <c r="I247" s="11" t="s">
        <v>3152</v>
      </c>
    </row>
    <row r="248" customFormat="false" ht="23.85" hidden="false" customHeight="false" outlineLevel="0" collapsed="false">
      <c r="A248" s="8" t="n">
        <v>120</v>
      </c>
      <c r="B248" s="15" t="n">
        <v>46361</v>
      </c>
      <c r="C248" s="8" t="s">
        <v>1344</v>
      </c>
      <c r="D248" s="8" t="n">
        <v>1</v>
      </c>
      <c r="E248" s="8" t="s">
        <v>3153</v>
      </c>
      <c r="F248" s="11" t="s">
        <v>1346</v>
      </c>
      <c r="G248" s="11" t="s">
        <v>3154</v>
      </c>
      <c r="H248" s="8" t="s">
        <v>3155</v>
      </c>
      <c r="I248" s="11" t="s">
        <v>3156</v>
      </c>
    </row>
    <row r="249" customFormat="false" ht="23.85" hidden="false" customHeight="false" outlineLevel="0" collapsed="false">
      <c r="A249" s="8" t="n">
        <v>120</v>
      </c>
      <c r="B249" s="15" t="n">
        <v>46361</v>
      </c>
      <c r="C249" s="8" t="s">
        <v>1344</v>
      </c>
      <c r="D249" s="8" t="n">
        <v>2</v>
      </c>
      <c r="E249" s="8" t="s">
        <v>3157</v>
      </c>
      <c r="F249" s="11" t="s">
        <v>3158</v>
      </c>
      <c r="G249" s="11" t="s">
        <v>3159</v>
      </c>
      <c r="H249" s="8" t="s">
        <v>2220</v>
      </c>
      <c r="I249" s="11" t="s">
        <v>3160</v>
      </c>
    </row>
    <row r="250" customFormat="false" ht="23.85" hidden="false" customHeight="false" outlineLevel="0" collapsed="false">
      <c r="A250" s="8" t="n">
        <v>120</v>
      </c>
      <c r="B250" s="15" t="n">
        <v>46361</v>
      </c>
      <c r="C250" s="8" t="s">
        <v>1344</v>
      </c>
      <c r="D250" s="8" t="n">
        <v>3</v>
      </c>
      <c r="E250" s="8" t="s">
        <v>3161</v>
      </c>
      <c r="F250" s="11" t="s">
        <v>3162</v>
      </c>
      <c r="G250" s="11" t="s">
        <v>3163</v>
      </c>
      <c r="H250" s="8" t="s">
        <v>2220</v>
      </c>
      <c r="I250" s="11" t="s">
        <v>3164</v>
      </c>
    </row>
    <row r="251" customFormat="false" ht="46.25" hidden="false" customHeight="false" outlineLevel="0" collapsed="false">
      <c r="A251" s="8" t="n">
        <v>120</v>
      </c>
      <c r="B251" s="15" t="n">
        <v>46361</v>
      </c>
      <c r="C251" s="8" t="s">
        <v>1344</v>
      </c>
      <c r="D251" s="8" t="n">
        <v>4</v>
      </c>
      <c r="E251" s="8" t="s">
        <v>3165</v>
      </c>
      <c r="F251" s="11" t="s">
        <v>3166</v>
      </c>
      <c r="G251" s="11" t="s">
        <v>3167</v>
      </c>
      <c r="H251" s="8" t="s">
        <v>3168</v>
      </c>
      <c r="I251" s="11" t="s">
        <v>3169</v>
      </c>
    </row>
    <row r="252" customFormat="false" ht="23.85" hidden="false" customHeight="false" outlineLevel="0" collapsed="false">
      <c r="A252" s="8" t="n">
        <v>120</v>
      </c>
      <c r="B252" s="15" t="n">
        <v>46361</v>
      </c>
      <c r="C252" s="8" t="s">
        <v>1344</v>
      </c>
      <c r="D252" s="8" t="n">
        <v>5</v>
      </c>
      <c r="E252" s="8" t="s">
        <v>3170</v>
      </c>
      <c r="F252" s="11" t="s">
        <v>3171</v>
      </c>
      <c r="G252" s="11" t="s">
        <v>3172</v>
      </c>
      <c r="H252" s="8" t="s">
        <v>3155</v>
      </c>
      <c r="I252" s="11" t="s">
        <v>3173</v>
      </c>
    </row>
    <row r="253" customFormat="false" ht="23.85" hidden="false" customHeight="false" outlineLevel="0" collapsed="false">
      <c r="A253" s="8" t="n">
        <v>120</v>
      </c>
      <c r="B253" s="15" t="n">
        <v>46361</v>
      </c>
      <c r="C253" s="8" t="s">
        <v>1344</v>
      </c>
      <c r="D253" s="8" t="n">
        <v>6</v>
      </c>
      <c r="E253" s="8" t="s">
        <v>2235</v>
      </c>
      <c r="F253" s="11" t="s">
        <v>3174</v>
      </c>
      <c r="G253" s="11" t="s">
        <v>3175</v>
      </c>
      <c r="H253" s="8" t="s">
        <v>2220</v>
      </c>
      <c r="I253" s="11" t="s">
        <v>3176</v>
      </c>
    </row>
    <row r="254" customFormat="false" ht="23.85" hidden="false" customHeight="false" outlineLevel="0" collapsed="false">
      <c r="A254" s="8" t="n">
        <v>124</v>
      </c>
      <c r="B254" s="15" t="n">
        <v>46363</v>
      </c>
      <c r="C254" s="8" t="s">
        <v>1387</v>
      </c>
      <c r="D254" s="8" t="n">
        <v>1</v>
      </c>
      <c r="E254" s="8" t="s">
        <v>2373</v>
      </c>
      <c r="F254" s="11" t="s">
        <v>1389</v>
      </c>
      <c r="G254" s="11" t="s">
        <v>3177</v>
      </c>
      <c r="H254" s="8" t="s">
        <v>1395</v>
      </c>
      <c r="I254" s="11" t="s">
        <v>3178</v>
      </c>
    </row>
    <row r="255" customFormat="false" ht="35.05" hidden="false" customHeight="false" outlineLevel="0" collapsed="false">
      <c r="A255" s="8" t="n">
        <v>124</v>
      </c>
      <c r="B255" s="15" t="n">
        <v>46363</v>
      </c>
      <c r="C255" s="8" t="s">
        <v>1387</v>
      </c>
      <c r="D255" s="8" t="n">
        <v>2</v>
      </c>
      <c r="E255" s="8" t="s">
        <v>3179</v>
      </c>
      <c r="F255" s="11" t="s">
        <v>3180</v>
      </c>
      <c r="G255" s="11" t="s">
        <v>3181</v>
      </c>
      <c r="H255" s="8" t="s">
        <v>2220</v>
      </c>
      <c r="I255" s="11" t="s">
        <v>3182</v>
      </c>
    </row>
    <row r="256" customFormat="false" ht="23.85" hidden="false" customHeight="false" outlineLevel="0" collapsed="false">
      <c r="A256" s="8" t="n">
        <v>124</v>
      </c>
      <c r="B256" s="15" t="n">
        <v>46363</v>
      </c>
      <c r="C256" s="8" t="s">
        <v>1387</v>
      </c>
      <c r="D256" s="8" t="n">
        <v>3</v>
      </c>
      <c r="E256" s="8" t="s">
        <v>3183</v>
      </c>
      <c r="F256" s="11" t="s">
        <v>3184</v>
      </c>
      <c r="G256" s="11" t="s">
        <v>3185</v>
      </c>
      <c r="H256" s="8" t="s">
        <v>1395</v>
      </c>
      <c r="I256" s="11" t="s">
        <v>3186</v>
      </c>
    </row>
    <row r="257" customFormat="false" ht="23.85" hidden="false" customHeight="false" outlineLevel="0" collapsed="false">
      <c r="A257" s="8" t="n">
        <v>124</v>
      </c>
      <c r="B257" s="15" t="n">
        <v>46363</v>
      </c>
      <c r="C257" s="8" t="s">
        <v>1387</v>
      </c>
      <c r="D257" s="8" t="n">
        <v>4</v>
      </c>
      <c r="E257" s="8" t="s">
        <v>3187</v>
      </c>
      <c r="F257" s="11" t="s">
        <v>3188</v>
      </c>
      <c r="G257" s="11" t="s">
        <v>3189</v>
      </c>
      <c r="H257" s="8" t="s">
        <v>2220</v>
      </c>
      <c r="I257" s="11" t="s">
        <v>3190</v>
      </c>
    </row>
    <row r="258" customFormat="false" ht="46.25" hidden="false" customHeight="false" outlineLevel="0" collapsed="false">
      <c r="A258" s="8" t="n">
        <v>124</v>
      </c>
      <c r="B258" s="15" t="n">
        <v>46363</v>
      </c>
      <c r="C258" s="8" t="s">
        <v>1387</v>
      </c>
      <c r="D258" s="8" t="n">
        <v>5</v>
      </c>
      <c r="E258" s="8" t="s">
        <v>2322</v>
      </c>
      <c r="F258" s="11" t="s">
        <v>3191</v>
      </c>
      <c r="G258" s="11" t="s">
        <v>3192</v>
      </c>
      <c r="H258" s="8" t="s">
        <v>2220</v>
      </c>
      <c r="I258" s="11" t="s">
        <v>3193</v>
      </c>
    </row>
    <row r="259" customFormat="false" ht="23.85" hidden="false" customHeight="false" outlineLevel="0" collapsed="false">
      <c r="A259" s="8" t="n">
        <v>124</v>
      </c>
      <c r="B259" s="15" t="n">
        <v>46363</v>
      </c>
      <c r="C259" s="8" t="s">
        <v>1387</v>
      </c>
      <c r="D259" s="8" t="n">
        <v>6</v>
      </c>
      <c r="E259" s="8" t="s">
        <v>2235</v>
      </c>
      <c r="F259" s="11" t="s">
        <v>3194</v>
      </c>
      <c r="G259" s="11" t="s">
        <v>3195</v>
      </c>
      <c r="H259" s="8" t="s">
        <v>2220</v>
      </c>
      <c r="I259" s="11" t="s">
        <v>3196</v>
      </c>
    </row>
    <row r="260" customFormat="false" ht="23.85" hidden="false" customHeight="false" outlineLevel="0" collapsed="false">
      <c r="A260" s="8" t="n">
        <v>127</v>
      </c>
      <c r="B260" s="15" t="n">
        <v>46365</v>
      </c>
      <c r="C260" s="8" t="s">
        <v>1420</v>
      </c>
      <c r="D260" s="8" t="n">
        <v>1</v>
      </c>
      <c r="E260" s="8" t="s">
        <v>3197</v>
      </c>
      <c r="F260" s="11" t="s">
        <v>1422</v>
      </c>
      <c r="G260" s="11" t="s">
        <v>3198</v>
      </c>
      <c r="H260" s="8" t="s">
        <v>3199</v>
      </c>
      <c r="I260" s="11" t="s">
        <v>3200</v>
      </c>
    </row>
    <row r="261" customFormat="false" ht="23.85" hidden="false" customHeight="false" outlineLevel="0" collapsed="false">
      <c r="A261" s="8" t="n">
        <v>127</v>
      </c>
      <c r="B261" s="15" t="n">
        <v>46365</v>
      </c>
      <c r="C261" s="8" t="s">
        <v>1420</v>
      </c>
      <c r="D261" s="8" t="n">
        <v>2</v>
      </c>
      <c r="E261" s="8" t="s">
        <v>2217</v>
      </c>
      <c r="F261" s="11" t="s">
        <v>3201</v>
      </c>
      <c r="G261" s="11" t="s">
        <v>3202</v>
      </c>
      <c r="H261" s="8" t="s">
        <v>2220</v>
      </c>
      <c r="I261" s="11" t="s">
        <v>3203</v>
      </c>
    </row>
    <row r="262" customFormat="false" ht="46.25" hidden="false" customHeight="false" outlineLevel="0" collapsed="false">
      <c r="A262" s="8" t="n">
        <v>127</v>
      </c>
      <c r="B262" s="15" t="n">
        <v>46365</v>
      </c>
      <c r="C262" s="8" t="s">
        <v>1420</v>
      </c>
      <c r="D262" s="8" t="n">
        <v>3</v>
      </c>
      <c r="E262" s="8" t="s">
        <v>3204</v>
      </c>
      <c r="F262" s="11" t="s">
        <v>3205</v>
      </c>
      <c r="G262" s="11" t="s">
        <v>3206</v>
      </c>
      <c r="H262" s="8" t="s">
        <v>3207</v>
      </c>
      <c r="I262" s="11" t="s">
        <v>3208</v>
      </c>
    </row>
    <row r="263" customFormat="false" ht="23.85" hidden="false" customHeight="false" outlineLevel="0" collapsed="false">
      <c r="A263" s="8" t="n">
        <v>127</v>
      </c>
      <c r="B263" s="15" t="n">
        <v>46365</v>
      </c>
      <c r="C263" s="8" t="s">
        <v>1420</v>
      </c>
      <c r="D263" s="8" t="n">
        <v>4</v>
      </c>
      <c r="E263" s="8" t="s">
        <v>3209</v>
      </c>
      <c r="F263" s="11" t="s">
        <v>3210</v>
      </c>
      <c r="G263" s="11" t="s">
        <v>3211</v>
      </c>
      <c r="H263" s="8" t="s">
        <v>2220</v>
      </c>
      <c r="I263" s="11" t="s">
        <v>3212</v>
      </c>
    </row>
    <row r="264" customFormat="false" ht="46.25" hidden="false" customHeight="false" outlineLevel="0" collapsed="false">
      <c r="A264" s="8" t="n">
        <v>127</v>
      </c>
      <c r="B264" s="15" t="n">
        <v>46365</v>
      </c>
      <c r="C264" s="8" t="s">
        <v>1420</v>
      </c>
      <c r="D264" s="8" t="n">
        <v>5</v>
      </c>
      <c r="E264" s="8" t="s">
        <v>2227</v>
      </c>
      <c r="F264" s="11" t="s">
        <v>3213</v>
      </c>
      <c r="G264" s="11" t="s">
        <v>3214</v>
      </c>
      <c r="H264" s="8" t="s">
        <v>2220</v>
      </c>
      <c r="I264" s="11" t="s">
        <v>3215</v>
      </c>
    </row>
    <row r="265" customFormat="false" ht="23.85" hidden="false" customHeight="false" outlineLevel="0" collapsed="false">
      <c r="A265" s="8" t="n">
        <v>127</v>
      </c>
      <c r="B265" s="15" t="n">
        <v>46365</v>
      </c>
      <c r="C265" s="8" t="s">
        <v>1420</v>
      </c>
      <c r="D265" s="8" t="n">
        <v>6</v>
      </c>
      <c r="E265" s="8" t="s">
        <v>2235</v>
      </c>
      <c r="F265" s="11" t="s">
        <v>3216</v>
      </c>
      <c r="G265" s="11" t="s">
        <v>3217</v>
      </c>
      <c r="H265" s="8" t="s">
        <v>2220</v>
      </c>
      <c r="I265" s="11" t="s">
        <v>3218</v>
      </c>
    </row>
    <row r="266" customFormat="false" ht="23.85" hidden="false" customHeight="false" outlineLevel="0" collapsed="false">
      <c r="A266" s="8" t="n">
        <v>129</v>
      </c>
      <c r="B266" s="15" t="n">
        <v>46366</v>
      </c>
      <c r="C266" s="8" t="s">
        <v>1441</v>
      </c>
      <c r="D266" s="8" t="n">
        <v>1</v>
      </c>
      <c r="E266" s="8" t="s">
        <v>3219</v>
      </c>
      <c r="F266" s="11" t="s">
        <v>1443</v>
      </c>
      <c r="G266" s="11" t="s">
        <v>3220</v>
      </c>
      <c r="H266" s="8" t="s">
        <v>1449</v>
      </c>
      <c r="I266" s="11" t="s">
        <v>3221</v>
      </c>
    </row>
    <row r="267" customFormat="false" ht="35.05" hidden="false" customHeight="false" outlineLevel="0" collapsed="false">
      <c r="A267" s="8" t="n">
        <v>129</v>
      </c>
      <c r="B267" s="15" t="n">
        <v>46366</v>
      </c>
      <c r="C267" s="8" t="s">
        <v>1441</v>
      </c>
      <c r="D267" s="8" t="n">
        <v>2</v>
      </c>
      <c r="E267" s="8" t="s">
        <v>3222</v>
      </c>
      <c r="F267" s="11" t="s">
        <v>3223</v>
      </c>
      <c r="G267" s="11" t="s">
        <v>3224</v>
      </c>
      <c r="H267" s="8" t="s">
        <v>2220</v>
      </c>
      <c r="I267" s="11" t="s">
        <v>3225</v>
      </c>
    </row>
    <row r="268" customFormat="false" ht="46.25" hidden="false" customHeight="false" outlineLevel="0" collapsed="false">
      <c r="A268" s="8" t="n">
        <v>129</v>
      </c>
      <c r="B268" s="15" t="n">
        <v>46366</v>
      </c>
      <c r="C268" s="8" t="s">
        <v>1441</v>
      </c>
      <c r="D268" s="8" t="n">
        <v>3</v>
      </c>
      <c r="E268" s="8" t="s">
        <v>3226</v>
      </c>
      <c r="F268" s="11" t="s">
        <v>3227</v>
      </c>
      <c r="G268" s="11" t="s">
        <v>3228</v>
      </c>
      <c r="H268" s="8" t="s">
        <v>2220</v>
      </c>
      <c r="I268" s="11" t="s">
        <v>3229</v>
      </c>
    </row>
    <row r="269" customFormat="false" ht="35.05" hidden="false" customHeight="false" outlineLevel="0" collapsed="false">
      <c r="A269" s="8" t="n">
        <v>129</v>
      </c>
      <c r="B269" s="15" t="n">
        <v>46366</v>
      </c>
      <c r="C269" s="8" t="s">
        <v>1441</v>
      </c>
      <c r="D269" s="8" t="n">
        <v>4</v>
      </c>
      <c r="E269" s="8" t="s">
        <v>3230</v>
      </c>
      <c r="F269" s="11" t="s">
        <v>3231</v>
      </c>
      <c r="G269" s="11" t="s">
        <v>3232</v>
      </c>
      <c r="H269" s="8" t="s">
        <v>1449</v>
      </c>
      <c r="I269" s="11" t="s">
        <v>3233</v>
      </c>
    </row>
    <row r="270" customFormat="false" ht="46.25" hidden="false" customHeight="false" outlineLevel="0" collapsed="false">
      <c r="A270" s="8" t="n">
        <v>129</v>
      </c>
      <c r="B270" s="15" t="n">
        <v>46366</v>
      </c>
      <c r="C270" s="8" t="s">
        <v>1441</v>
      </c>
      <c r="D270" s="8" t="n">
        <v>5</v>
      </c>
      <c r="E270" s="8" t="s">
        <v>3234</v>
      </c>
      <c r="F270" s="11" t="s">
        <v>3235</v>
      </c>
      <c r="G270" s="11" t="s">
        <v>3236</v>
      </c>
      <c r="H270" s="8" t="s">
        <v>2220</v>
      </c>
      <c r="I270" s="11" t="s">
        <v>3237</v>
      </c>
    </row>
    <row r="271" customFormat="false" ht="23.85" hidden="false" customHeight="false" outlineLevel="0" collapsed="false">
      <c r="A271" s="8" t="n">
        <v>129</v>
      </c>
      <c r="B271" s="15" t="n">
        <v>46366</v>
      </c>
      <c r="C271" s="8" t="s">
        <v>1441</v>
      </c>
      <c r="D271" s="8" t="n">
        <v>6</v>
      </c>
      <c r="E271" s="8" t="s">
        <v>3238</v>
      </c>
      <c r="F271" s="11" t="s">
        <v>3239</v>
      </c>
      <c r="G271" s="11" t="s">
        <v>3240</v>
      </c>
      <c r="H271" s="8" t="s">
        <v>2220</v>
      </c>
      <c r="I271" s="11" t="s">
        <v>3241</v>
      </c>
    </row>
    <row r="272" customFormat="false" ht="23.85" hidden="false" customHeight="false" outlineLevel="0" collapsed="false">
      <c r="A272" s="8" t="n">
        <v>132</v>
      </c>
      <c r="B272" s="15" t="n">
        <v>46367</v>
      </c>
      <c r="C272" s="8" t="s">
        <v>1473</v>
      </c>
      <c r="D272" s="8" t="n">
        <v>1</v>
      </c>
      <c r="E272" s="8" t="s">
        <v>3242</v>
      </c>
      <c r="F272" s="11" t="s">
        <v>1475</v>
      </c>
      <c r="G272" s="11" t="s">
        <v>3243</v>
      </c>
      <c r="H272" s="8" t="s">
        <v>3244</v>
      </c>
      <c r="I272" s="11" t="s">
        <v>3245</v>
      </c>
    </row>
    <row r="273" customFormat="false" ht="46.25" hidden="false" customHeight="false" outlineLevel="0" collapsed="false">
      <c r="A273" s="8" t="n">
        <v>132</v>
      </c>
      <c r="B273" s="15" t="n">
        <v>46367</v>
      </c>
      <c r="C273" s="8" t="s">
        <v>1473</v>
      </c>
      <c r="D273" s="8" t="n">
        <v>2</v>
      </c>
      <c r="E273" s="8" t="s">
        <v>3246</v>
      </c>
      <c r="F273" s="11" t="s">
        <v>3247</v>
      </c>
      <c r="G273" s="11" t="s">
        <v>3248</v>
      </c>
      <c r="H273" s="8" t="s">
        <v>3249</v>
      </c>
      <c r="I273" s="11" t="s">
        <v>3250</v>
      </c>
    </row>
    <row r="274" customFormat="false" ht="46.25" hidden="false" customHeight="false" outlineLevel="0" collapsed="false">
      <c r="A274" s="8" t="n">
        <v>132</v>
      </c>
      <c r="B274" s="15" t="n">
        <v>46367</v>
      </c>
      <c r="C274" s="8" t="s">
        <v>1473</v>
      </c>
      <c r="D274" s="8" t="n">
        <v>3</v>
      </c>
      <c r="E274" s="8" t="s">
        <v>3251</v>
      </c>
      <c r="F274" s="11" t="s">
        <v>3252</v>
      </c>
      <c r="G274" s="11" t="s">
        <v>3253</v>
      </c>
      <c r="H274" s="8" t="s">
        <v>2220</v>
      </c>
      <c r="I274" s="11" t="s">
        <v>3254</v>
      </c>
    </row>
    <row r="275" customFormat="false" ht="46.25" hidden="false" customHeight="false" outlineLevel="0" collapsed="false">
      <c r="A275" s="8" t="n">
        <v>132</v>
      </c>
      <c r="B275" s="15" t="n">
        <v>46367</v>
      </c>
      <c r="C275" s="8" t="s">
        <v>1473</v>
      </c>
      <c r="D275" s="8" t="n">
        <v>4</v>
      </c>
      <c r="E275" s="8" t="s">
        <v>3255</v>
      </c>
      <c r="F275" s="11" t="s">
        <v>3256</v>
      </c>
      <c r="G275" s="11" t="s">
        <v>3257</v>
      </c>
      <c r="H275" s="8" t="s">
        <v>2220</v>
      </c>
      <c r="I275" s="11" t="s">
        <v>3258</v>
      </c>
    </row>
    <row r="276" customFormat="false" ht="35.05" hidden="false" customHeight="false" outlineLevel="0" collapsed="false">
      <c r="A276" s="8" t="n">
        <v>132</v>
      </c>
      <c r="B276" s="15" t="n">
        <v>46367</v>
      </c>
      <c r="C276" s="8" t="s">
        <v>1473</v>
      </c>
      <c r="D276" s="8" t="n">
        <v>5</v>
      </c>
      <c r="E276" s="8" t="s">
        <v>3259</v>
      </c>
      <c r="F276" s="11" t="s">
        <v>3260</v>
      </c>
      <c r="G276" s="11" t="s">
        <v>3261</v>
      </c>
      <c r="H276" s="8" t="s">
        <v>2220</v>
      </c>
      <c r="I276" s="11" t="s">
        <v>3262</v>
      </c>
    </row>
    <row r="277" customFormat="false" ht="23.85" hidden="false" customHeight="false" outlineLevel="0" collapsed="false">
      <c r="A277" s="8" t="n">
        <v>132</v>
      </c>
      <c r="B277" s="15" t="n">
        <v>46367</v>
      </c>
      <c r="C277" s="8" t="s">
        <v>1473</v>
      </c>
      <c r="D277" s="8" t="n">
        <v>6</v>
      </c>
      <c r="E277" s="8" t="s">
        <v>3263</v>
      </c>
      <c r="F277" s="11" t="s">
        <v>3264</v>
      </c>
      <c r="G277" s="11" t="s">
        <v>3265</v>
      </c>
      <c r="H277" s="8" t="s">
        <v>2220</v>
      </c>
      <c r="I277" s="11" t="s">
        <v>3266</v>
      </c>
    </row>
    <row r="278" customFormat="false" ht="23.85" hidden="false" customHeight="false" outlineLevel="0" collapsed="false">
      <c r="A278" s="8" t="n">
        <v>133</v>
      </c>
      <c r="B278" s="15" t="n">
        <v>46368</v>
      </c>
      <c r="C278" s="8" t="s">
        <v>1484</v>
      </c>
      <c r="D278" s="8" t="n">
        <v>1</v>
      </c>
      <c r="E278" s="8" t="s">
        <v>3267</v>
      </c>
      <c r="F278" s="11" t="s">
        <v>1486</v>
      </c>
      <c r="G278" s="11" t="s">
        <v>3268</v>
      </c>
      <c r="H278" s="8" t="s">
        <v>1492</v>
      </c>
      <c r="I278" s="11" t="s">
        <v>3269</v>
      </c>
    </row>
    <row r="279" customFormat="false" ht="23.85" hidden="false" customHeight="false" outlineLevel="0" collapsed="false">
      <c r="A279" s="8" t="n">
        <v>133</v>
      </c>
      <c r="B279" s="15" t="n">
        <v>46368</v>
      </c>
      <c r="C279" s="8" t="s">
        <v>1484</v>
      </c>
      <c r="D279" s="8" t="n">
        <v>2</v>
      </c>
      <c r="E279" s="8" t="s">
        <v>3270</v>
      </c>
      <c r="F279" s="11" t="s">
        <v>3064</v>
      </c>
      <c r="G279" s="11" t="s">
        <v>3271</v>
      </c>
      <c r="H279" s="8" t="s">
        <v>2220</v>
      </c>
      <c r="I279" s="11" t="s">
        <v>3272</v>
      </c>
    </row>
    <row r="280" customFormat="false" ht="23.85" hidden="false" customHeight="false" outlineLevel="0" collapsed="false">
      <c r="A280" s="8" t="n">
        <v>133</v>
      </c>
      <c r="B280" s="15" t="n">
        <v>46368</v>
      </c>
      <c r="C280" s="8" t="s">
        <v>1484</v>
      </c>
      <c r="D280" s="8" t="n">
        <v>3</v>
      </c>
      <c r="E280" s="8" t="s">
        <v>3273</v>
      </c>
      <c r="F280" s="11" t="s">
        <v>3274</v>
      </c>
      <c r="G280" s="11" t="s">
        <v>3275</v>
      </c>
      <c r="H280" s="8" t="s">
        <v>2220</v>
      </c>
      <c r="I280" s="11" t="s">
        <v>3276</v>
      </c>
    </row>
    <row r="281" customFormat="false" ht="46.25" hidden="false" customHeight="false" outlineLevel="0" collapsed="false">
      <c r="A281" s="8" t="n">
        <v>133</v>
      </c>
      <c r="B281" s="15" t="n">
        <v>46368</v>
      </c>
      <c r="C281" s="8" t="s">
        <v>1484</v>
      </c>
      <c r="D281" s="8" t="n">
        <v>4</v>
      </c>
      <c r="E281" s="8" t="s">
        <v>2813</v>
      </c>
      <c r="F281" s="11" t="s">
        <v>3277</v>
      </c>
      <c r="G281" s="11" t="s">
        <v>3278</v>
      </c>
      <c r="H281" s="8" t="s">
        <v>1492</v>
      </c>
      <c r="I281" s="11" t="s">
        <v>3279</v>
      </c>
    </row>
    <row r="282" customFormat="false" ht="46.25" hidden="false" customHeight="false" outlineLevel="0" collapsed="false">
      <c r="A282" s="8" t="n">
        <v>133</v>
      </c>
      <c r="B282" s="15" t="n">
        <v>46368</v>
      </c>
      <c r="C282" s="8" t="s">
        <v>1484</v>
      </c>
      <c r="D282" s="8" t="n">
        <v>5</v>
      </c>
      <c r="E282" s="8" t="s">
        <v>2302</v>
      </c>
      <c r="F282" s="11" t="s">
        <v>2356</v>
      </c>
      <c r="G282" s="11" t="s">
        <v>3280</v>
      </c>
      <c r="H282" s="8" t="s">
        <v>2220</v>
      </c>
      <c r="I282" s="11" t="s">
        <v>3281</v>
      </c>
    </row>
    <row r="283" customFormat="false" ht="23.85" hidden="false" customHeight="false" outlineLevel="0" collapsed="false">
      <c r="A283" s="8" t="n">
        <v>133</v>
      </c>
      <c r="B283" s="15" t="n">
        <v>46368</v>
      </c>
      <c r="C283" s="8" t="s">
        <v>1484</v>
      </c>
      <c r="D283" s="8" t="n">
        <v>6</v>
      </c>
      <c r="E283" s="8" t="s">
        <v>3282</v>
      </c>
      <c r="F283" s="11" t="s">
        <v>3283</v>
      </c>
      <c r="G283" s="11" t="s">
        <v>3284</v>
      </c>
      <c r="H283" s="8" t="s">
        <v>2220</v>
      </c>
      <c r="I283" s="11" t="s">
        <v>3285</v>
      </c>
    </row>
    <row r="284" customFormat="false" ht="23.85" hidden="false" customHeight="false" outlineLevel="0" collapsed="false">
      <c r="A284" s="8" t="n">
        <v>137</v>
      </c>
      <c r="B284" s="15" t="n">
        <v>46370</v>
      </c>
      <c r="C284" s="8" t="s">
        <v>1527</v>
      </c>
      <c r="D284" s="8" t="n">
        <v>1</v>
      </c>
      <c r="E284" s="8" t="s">
        <v>3286</v>
      </c>
      <c r="F284" s="11" t="s">
        <v>1529</v>
      </c>
      <c r="G284" s="11" t="s">
        <v>3287</v>
      </c>
      <c r="H284" s="8" t="s">
        <v>1535</v>
      </c>
      <c r="I284" s="11" t="s">
        <v>3288</v>
      </c>
    </row>
    <row r="285" customFormat="false" ht="23.85" hidden="false" customHeight="false" outlineLevel="0" collapsed="false">
      <c r="A285" s="8" t="n">
        <v>137</v>
      </c>
      <c r="B285" s="15" t="n">
        <v>46370</v>
      </c>
      <c r="C285" s="8" t="s">
        <v>1527</v>
      </c>
      <c r="D285" s="8" t="n">
        <v>2</v>
      </c>
      <c r="E285" s="8" t="s">
        <v>3289</v>
      </c>
      <c r="F285" s="11" t="s">
        <v>3290</v>
      </c>
      <c r="G285" s="11" t="s">
        <v>3291</v>
      </c>
      <c r="H285" s="8" t="s">
        <v>2220</v>
      </c>
      <c r="I285" s="11" t="s">
        <v>3292</v>
      </c>
    </row>
    <row r="286" customFormat="false" ht="23.85" hidden="false" customHeight="false" outlineLevel="0" collapsed="false">
      <c r="A286" s="8" t="n">
        <v>137</v>
      </c>
      <c r="B286" s="15" t="n">
        <v>46370</v>
      </c>
      <c r="C286" s="8" t="s">
        <v>1527</v>
      </c>
      <c r="D286" s="8" t="n">
        <v>3</v>
      </c>
      <c r="E286" s="8" t="s">
        <v>3293</v>
      </c>
      <c r="F286" s="11" t="s">
        <v>3294</v>
      </c>
      <c r="G286" s="11" t="s">
        <v>3295</v>
      </c>
      <c r="H286" s="8" t="s">
        <v>2220</v>
      </c>
      <c r="I286" s="11" t="s">
        <v>3296</v>
      </c>
    </row>
    <row r="287" customFormat="false" ht="46.25" hidden="false" customHeight="false" outlineLevel="0" collapsed="false">
      <c r="A287" s="8" t="n">
        <v>137</v>
      </c>
      <c r="B287" s="15" t="n">
        <v>46370</v>
      </c>
      <c r="C287" s="8" t="s">
        <v>1527</v>
      </c>
      <c r="D287" s="8" t="n">
        <v>4</v>
      </c>
      <c r="E287" s="8" t="s">
        <v>3204</v>
      </c>
      <c r="F287" s="11" t="s">
        <v>3297</v>
      </c>
      <c r="G287" s="11" t="s">
        <v>3298</v>
      </c>
      <c r="H287" s="8" t="s">
        <v>1535</v>
      </c>
      <c r="I287" s="11" t="s">
        <v>3299</v>
      </c>
    </row>
    <row r="288" customFormat="false" ht="46.25" hidden="false" customHeight="false" outlineLevel="0" collapsed="false">
      <c r="A288" s="8" t="n">
        <v>137</v>
      </c>
      <c r="B288" s="15" t="n">
        <v>46370</v>
      </c>
      <c r="C288" s="8" t="s">
        <v>1527</v>
      </c>
      <c r="D288" s="8" t="n">
        <v>5</v>
      </c>
      <c r="E288" s="8" t="s">
        <v>2939</v>
      </c>
      <c r="F288" s="11" t="s">
        <v>3300</v>
      </c>
      <c r="G288" s="11" t="s">
        <v>3301</v>
      </c>
      <c r="H288" s="8" t="s">
        <v>2220</v>
      </c>
      <c r="I288" s="11" t="s">
        <v>3302</v>
      </c>
    </row>
    <row r="289" customFormat="false" ht="23.85" hidden="false" customHeight="false" outlineLevel="0" collapsed="false">
      <c r="A289" s="8" t="n">
        <v>137</v>
      </c>
      <c r="B289" s="15" t="n">
        <v>46370</v>
      </c>
      <c r="C289" s="8" t="s">
        <v>1527</v>
      </c>
      <c r="D289" s="8" t="n">
        <v>6</v>
      </c>
      <c r="E289" s="8" t="s">
        <v>2235</v>
      </c>
      <c r="F289" s="11" t="s">
        <v>3303</v>
      </c>
      <c r="G289" s="11" t="s">
        <v>3304</v>
      </c>
      <c r="H289" s="8" t="s">
        <v>2220</v>
      </c>
      <c r="I289" s="11" t="s">
        <v>3305</v>
      </c>
    </row>
    <row r="290" customFormat="false" ht="23.85" hidden="false" customHeight="false" outlineLevel="0" collapsed="false">
      <c r="A290" s="8" t="n">
        <v>139</v>
      </c>
      <c r="B290" s="15" t="n">
        <v>46371</v>
      </c>
      <c r="C290" s="8" t="s">
        <v>1548</v>
      </c>
      <c r="D290" s="8" t="n">
        <v>1</v>
      </c>
      <c r="E290" s="8" t="s">
        <v>3306</v>
      </c>
      <c r="F290" s="11" t="s">
        <v>1550</v>
      </c>
      <c r="G290" s="11" t="s">
        <v>3307</v>
      </c>
      <c r="H290" s="8" t="s">
        <v>1555</v>
      </c>
      <c r="I290" s="11" t="s">
        <v>3308</v>
      </c>
    </row>
    <row r="291" customFormat="false" ht="23.85" hidden="false" customHeight="false" outlineLevel="0" collapsed="false">
      <c r="A291" s="8" t="n">
        <v>139</v>
      </c>
      <c r="B291" s="15" t="n">
        <v>46371</v>
      </c>
      <c r="C291" s="8" t="s">
        <v>1548</v>
      </c>
      <c r="D291" s="8" t="n">
        <v>2</v>
      </c>
      <c r="E291" s="8" t="s">
        <v>3309</v>
      </c>
      <c r="F291" s="11" t="s">
        <v>3310</v>
      </c>
      <c r="G291" s="11" t="s">
        <v>3311</v>
      </c>
      <c r="H291" s="8" t="s">
        <v>2220</v>
      </c>
      <c r="I291" s="11" t="s">
        <v>3312</v>
      </c>
    </row>
    <row r="292" customFormat="false" ht="46.25" hidden="false" customHeight="false" outlineLevel="0" collapsed="false">
      <c r="A292" s="8" t="n">
        <v>139</v>
      </c>
      <c r="B292" s="15" t="n">
        <v>46371</v>
      </c>
      <c r="C292" s="8" t="s">
        <v>1548</v>
      </c>
      <c r="D292" s="8" t="n">
        <v>3</v>
      </c>
      <c r="E292" s="8" t="s">
        <v>3313</v>
      </c>
      <c r="F292" s="11" t="s">
        <v>3314</v>
      </c>
      <c r="G292" s="11" t="s">
        <v>3315</v>
      </c>
      <c r="H292" s="8" t="s">
        <v>1555</v>
      </c>
      <c r="I292" s="11" t="s">
        <v>3316</v>
      </c>
    </row>
    <row r="293" customFormat="false" ht="35.05" hidden="false" customHeight="false" outlineLevel="0" collapsed="false">
      <c r="A293" s="8" t="n">
        <v>139</v>
      </c>
      <c r="B293" s="15" t="n">
        <v>46371</v>
      </c>
      <c r="C293" s="8" t="s">
        <v>1548</v>
      </c>
      <c r="D293" s="8" t="n">
        <v>4</v>
      </c>
      <c r="E293" s="8" t="s">
        <v>3317</v>
      </c>
      <c r="F293" s="11" t="s">
        <v>3318</v>
      </c>
      <c r="G293" s="11" t="s">
        <v>3319</v>
      </c>
      <c r="H293" s="8" t="s">
        <v>2220</v>
      </c>
      <c r="I293" s="11" t="s">
        <v>3320</v>
      </c>
    </row>
    <row r="294" customFormat="false" ht="23.85" hidden="false" customHeight="false" outlineLevel="0" collapsed="false">
      <c r="A294" s="8" t="n">
        <v>139</v>
      </c>
      <c r="B294" s="15" t="n">
        <v>46371</v>
      </c>
      <c r="C294" s="8" t="s">
        <v>1548</v>
      </c>
      <c r="D294" s="8" t="n">
        <v>5</v>
      </c>
      <c r="E294" s="8" t="s">
        <v>3321</v>
      </c>
      <c r="F294" s="11" t="s">
        <v>3322</v>
      </c>
      <c r="G294" s="11" t="s">
        <v>3323</v>
      </c>
      <c r="H294" s="8" t="s">
        <v>2220</v>
      </c>
      <c r="I294" s="11" t="s">
        <v>3324</v>
      </c>
    </row>
    <row r="295" customFormat="false" ht="23.85" hidden="false" customHeight="false" outlineLevel="0" collapsed="false">
      <c r="A295" s="8" t="n">
        <v>139</v>
      </c>
      <c r="B295" s="15" t="n">
        <v>46371</v>
      </c>
      <c r="C295" s="8" t="s">
        <v>1548</v>
      </c>
      <c r="D295" s="8" t="n">
        <v>6</v>
      </c>
      <c r="E295" s="8" t="s">
        <v>2235</v>
      </c>
      <c r="F295" s="11" t="s">
        <v>3325</v>
      </c>
      <c r="G295" s="11" t="s">
        <v>3326</v>
      </c>
      <c r="H295" s="8" t="s">
        <v>2220</v>
      </c>
      <c r="I295" s="11" t="s">
        <v>3327</v>
      </c>
    </row>
    <row r="296" customFormat="false" ht="23.85" hidden="false" customHeight="false" outlineLevel="0" collapsed="false">
      <c r="A296" s="8" t="n">
        <v>140</v>
      </c>
      <c r="B296" s="15" t="n">
        <v>46371</v>
      </c>
      <c r="C296" s="8" t="s">
        <v>1558</v>
      </c>
      <c r="D296" s="8" t="n">
        <v>1</v>
      </c>
      <c r="E296" s="8" t="s">
        <v>3328</v>
      </c>
      <c r="F296" s="11" t="s">
        <v>1560</v>
      </c>
      <c r="G296" s="11" t="s">
        <v>3329</v>
      </c>
      <c r="H296" s="8" t="s">
        <v>3330</v>
      </c>
      <c r="I296" s="11" t="s">
        <v>3331</v>
      </c>
    </row>
    <row r="297" customFormat="false" ht="23.85" hidden="false" customHeight="false" outlineLevel="0" collapsed="false">
      <c r="A297" s="8" t="n">
        <v>140</v>
      </c>
      <c r="B297" s="15" t="n">
        <v>46371</v>
      </c>
      <c r="C297" s="8" t="s">
        <v>1558</v>
      </c>
      <c r="D297" s="8" t="n">
        <v>2</v>
      </c>
      <c r="E297" s="8" t="s">
        <v>3332</v>
      </c>
      <c r="F297" s="11" t="s">
        <v>3333</v>
      </c>
      <c r="G297" s="11" t="s">
        <v>3334</v>
      </c>
      <c r="H297" s="8" t="s">
        <v>2220</v>
      </c>
      <c r="I297" s="11" t="s">
        <v>3335</v>
      </c>
    </row>
    <row r="298" customFormat="false" ht="23.85" hidden="false" customHeight="false" outlineLevel="0" collapsed="false">
      <c r="A298" s="8" t="n">
        <v>140</v>
      </c>
      <c r="B298" s="15" t="n">
        <v>46371</v>
      </c>
      <c r="C298" s="8" t="s">
        <v>1558</v>
      </c>
      <c r="D298" s="8" t="n">
        <v>3</v>
      </c>
      <c r="E298" s="8" t="s">
        <v>3336</v>
      </c>
      <c r="F298" s="11" t="s">
        <v>3337</v>
      </c>
      <c r="G298" s="11" t="s">
        <v>3338</v>
      </c>
      <c r="H298" s="8" t="s">
        <v>3330</v>
      </c>
      <c r="I298" s="11" t="s">
        <v>3339</v>
      </c>
    </row>
    <row r="299" customFormat="false" ht="23.85" hidden="false" customHeight="false" outlineLevel="0" collapsed="false">
      <c r="A299" s="8" t="n">
        <v>140</v>
      </c>
      <c r="B299" s="15" t="n">
        <v>46371</v>
      </c>
      <c r="C299" s="8" t="s">
        <v>1558</v>
      </c>
      <c r="D299" s="8" t="n">
        <v>4</v>
      </c>
      <c r="E299" s="8" t="s">
        <v>3340</v>
      </c>
      <c r="F299" s="11" t="s">
        <v>3341</v>
      </c>
      <c r="G299" s="11" t="s">
        <v>3342</v>
      </c>
      <c r="H299" s="8" t="s">
        <v>2220</v>
      </c>
      <c r="I299" s="11" t="s">
        <v>3343</v>
      </c>
    </row>
    <row r="300" customFormat="false" ht="35.05" hidden="false" customHeight="false" outlineLevel="0" collapsed="false">
      <c r="A300" s="8" t="n">
        <v>140</v>
      </c>
      <c r="B300" s="15" t="n">
        <v>46371</v>
      </c>
      <c r="C300" s="8" t="s">
        <v>1558</v>
      </c>
      <c r="D300" s="8" t="n">
        <v>5</v>
      </c>
      <c r="E300" s="8" t="s">
        <v>2322</v>
      </c>
      <c r="F300" s="11" t="s">
        <v>3344</v>
      </c>
      <c r="G300" s="11" t="s">
        <v>3345</v>
      </c>
      <c r="H300" s="8" t="s">
        <v>3346</v>
      </c>
      <c r="I300" s="11" t="s">
        <v>3347</v>
      </c>
    </row>
    <row r="301" customFormat="false" ht="23.85" hidden="false" customHeight="false" outlineLevel="0" collapsed="false">
      <c r="A301" s="8" t="n">
        <v>140</v>
      </c>
      <c r="B301" s="15" t="n">
        <v>46371</v>
      </c>
      <c r="C301" s="8" t="s">
        <v>1558</v>
      </c>
      <c r="D301" s="8" t="n">
        <v>6</v>
      </c>
      <c r="E301" s="8" t="s">
        <v>3348</v>
      </c>
      <c r="F301" s="11" t="s">
        <v>3349</v>
      </c>
      <c r="G301" s="11" t="s">
        <v>3350</v>
      </c>
      <c r="H301" s="8" t="s">
        <v>2220</v>
      </c>
      <c r="I301" s="11" t="s">
        <v>3351</v>
      </c>
    </row>
    <row r="302" customFormat="false" ht="23.85" hidden="false" customHeight="false" outlineLevel="0" collapsed="false">
      <c r="A302" s="8" t="n">
        <v>143</v>
      </c>
      <c r="B302" s="15" t="n">
        <v>46373</v>
      </c>
      <c r="C302" s="8" t="s">
        <v>1592</v>
      </c>
      <c r="D302" s="8" t="n">
        <v>1</v>
      </c>
      <c r="E302" s="8" t="s">
        <v>3352</v>
      </c>
      <c r="F302" s="11" t="s">
        <v>1594</v>
      </c>
      <c r="G302" s="11" t="s">
        <v>3353</v>
      </c>
      <c r="H302" s="8" t="s">
        <v>1599</v>
      </c>
      <c r="I302" s="11" t="s">
        <v>3354</v>
      </c>
    </row>
    <row r="303" customFormat="false" ht="46.25" hidden="false" customHeight="false" outlineLevel="0" collapsed="false">
      <c r="A303" s="8" t="n">
        <v>143</v>
      </c>
      <c r="B303" s="15" t="n">
        <v>46373</v>
      </c>
      <c r="C303" s="8" t="s">
        <v>1592</v>
      </c>
      <c r="D303" s="8" t="n">
        <v>2</v>
      </c>
      <c r="E303" s="8" t="s">
        <v>3355</v>
      </c>
      <c r="F303" s="11" t="s">
        <v>3356</v>
      </c>
      <c r="G303" s="11" t="s">
        <v>3357</v>
      </c>
      <c r="H303" s="8" t="s">
        <v>1599</v>
      </c>
      <c r="I303" s="11" t="s">
        <v>3358</v>
      </c>
    </row>
    <row r="304" customFormat="false" ht="23.85" hidden="false" customHeight="false" outlineLevel="0" collapsed="false">
      <c r="A304" s="8" t="n">
        <v>143</v>
      </c>
      <c r="B304" s="15" t="n">
        <v>46373</v>
      </c>
      <c r="C304" s="8" t="s">
        <v>1592</v>
      </c>
      <c r="D304" s="8" t="n">
        <v>3</v>
      </c>
      <c r="E304" s="8" t="s">
        <v>3359</v>
      </c>
      <c r="F304" s="11" t="s">
        <v>3360</v>
      </c>
      <c r="G304" s="11" t="s">
        <v>3361</v>
      </c>
      <c r="H304" s="8" t="s">
        <v>2220</v>
      </c>
      <c r="I304" s="11" t="s">
        <v>3362</v>
      </c>
    </row>
    <row r="305" customFormat="false" ht="46.25" hidden="false" customHeight="false" outlineLevel="0" collapsed="false">
      <c r="A305" s="8" t="n">
        <v>143</v>
      </c>
      <c r="B305" s="15" t="n">
        <v>46373</v>
      </c>
      <c r="C305" s="8" t="s">
        <v>1592</v>
      </c>
      <c r="D305" s="8" t="n">
        <v>4</v>
      </c>
      <c r="E305" s="8" t="s">
        <v>3363</v>
      </c>
      <c r="F305" s="11" t="s">
        <v>3364</v>
      </c>
      <c r="G305" s="11" t="s">
        <v>3365</v>
      </c>
      <c r="H305" s="8" t="s">
        <v>2220</v>
      </c>
      <c r="I305" s="11" t="s">
        <v>3366</v>
      </c>
    </row>
    <row r="306" customFormat="false" ht="23.85" hidden="false" customHeight="false" outlineLevel="0" collapsed="false">
      <c r="A306" s="8" t="n">
        <v>143</v>
      </c>
      <c r="B306" s="15" t="n">
        <v>46373</v>
      </c>
      <c r="C306" s="8" t="s">
        <v>1592</v>
      </c>
      <c r="D306" s="8" t="n">
        <v>5</v>
      </c>
      <c r="E306" s="8" t="s">
        <v>3367</v>
      </c>
      <c r="F306" s="11" t="s">
        <v>3368</v>
      </c>
      <c r="G306" s="11" t="s">
        <v>3369</v>
      </c>
      <c r="H306" s="8" t="s">
        <v>2220</v>
      </c>
      <c r="I306" s="11" t="s">
        <v>3370</v>
      </c>
    </row>
    <row r="307" customFormat="false" ht="23.85" hidden="false" customHeight="false" outlineLevel="0" collapsed="false">
      <c r="A307" s="8" t="n">
        <v>143</v>
      </c>
      <c r="B307" s="15" t="n">
        <v>46373</v>
      </c>
      <c r="C307" s="8" t="s">
        <v>1592</v>
      </c>
      <c r="D307" s="8" t="n">
        <v>6</v>
      </c>
      <c r="E307" s="8" t="s">
        <v>2235</v>
      </c>
      <c r="F307" s="11" t="s">
        <v>3371</v>
      </c>
      <c r="G307" s="11" t="s">
        <v>3372</v>
      </c>
      <c r="H307" s="8" t="s">
        <v>2220</v>
      </c>
      <c r="I307" s="11" t="s">
        <v>3373</v>
      </c>
    </row>
    <row r="308" customFormat="false" ht="23.85" hidden="false" customHeight="false" outlineLevel="0" collapsed="false">
      <c r="A308" s="8" t="n">
        <v>147</v>
      </c>
      <c r="B308" s="15" t="n">
        <v>46375</v>
      </c>
      <c r="C308" s="8" t="s">
        <v>1636</v>
      </c>
      <c r="D308" s="8" t="n">
        <v>1</v>
      </c>
      <c r="E308" s="8" t="s">
        <v>3374</v>
      </c>
      <c r="F308" s="11" t="s">
        <v>1638</v>
      </c>
      <c r="G308" s="11" t="s">
        <v>3375</v>
      </c>
      <c r="H308" s="8" t="s">
        <v>1643</v>
      </c>
      <c r="I308" s="11" t="s">
        <v>3376</v>
      </c>
    </row>
    <row r="309" customFormat="false" ht="23.85" hidden="false" customHeight="false" outlineLevel="0" collapsed="false">
      <c r="A309" s="8" t="n">
        <v>147</v>
      </c>
      <c r="B309" s="15" t="n">
        <v>46375</v>
      </c>
      <c r="C309" s="8" t="s">
        <v>1636</v>
      </c>
      <c r="D309" s="8" t="n">
        <v>2</v>
      </c>
      <c r="E309" s="8" t="s">
        <v>3377</v>
      </c>
      <c r="F309" s="11" t="s">
        <v>3378</v>
      </c>
      <c r="G309" s="11" t="s">
        <v>3379</v>
      </c>
      <c r="H309" s="8" t="s">
        <v>2220</v>
      </c>
      <c r="I309" s="11" t="s">
        <v>3380</v>
      </c>
    </row>
    <row r="310" customFormat="false" ht="23.85" hidden="false" customHeight="false" outlineLevel="0" collapsed="false">
      <c r="A310" s="8" t="n">
        <v>147</v>
      </c>
      <c r="B310" s="15" t="n">
        <v>46375</v>
      </c>
      <c r="C310" s="8" t="s">
        <v>1636</v>
      </c>
      <c r="D310" s="8" t="n">
        <v>3</v>
      </c>
      <c r="E310" s="8" t="s">
        <v>3381</v>
      </c>
      <c r="F310" s="11" t="s">
        <v>3382</v>
      </c>
      <c r="G310" s="11" t="s">
        <v>3383</v>
      </c>
      <c r="H310" s="8" t="s">
        <v>1643</v>
      </c>
      <c r="I310" s="11" t="s">
        <v>3384</v>
      </c>
    </row>
    <row r="311" customFormat="false" ht="46.25" hidden="false" customHeight="false" outlineLevel="0" collapsed="false">
      <c r="A311" s="8" t="n">
        <v>147</v>
      </c>
      <c r="B311" s="15" t="n">
        <v>46375</v>
      </c>
      <c r="C311" s="8" t="s">
        <v>1636</v>
      </c>
      <c r="D311" s="8" t="n">
        <v>4</v>
      </c>
      <c r="E311" s="8" t="s">
        <v>2302</v>
      </c>
      <c r="F311" s="11" t="s">
        <v>3385</v>
      </c>
      <c r="G311" s="11" t="s">
        <v>3386</v>
      </c>
      <c r="H311" s="8" t="s">
        <v>2220</v>
      </c>
      <c r="I311" s="11" t="s">
        <v>3387</v>
      </c>
    </row>
    <row r="312" customFormat="false" ht="23.85" hidden="false" customHeight="false" outlineLevel="0" collapsed="false">
      <c r="A312" s="8" t="n">
        <v>147</v>
      </c>
      <c r="B312" s="15" t="n">
        <v>46375</v>
      </c>
      <c r="C312" s="8" t="s">
        <v>1636</v>
      </c>
      <c r="D312" s="8" t="n">
        <v>5</v>
      </c>
      <c r="E312" s="8" t="s">
        <v>3388</v>
      </c>
      <c r="F312" s="11" t="s">
        <v>3389</v>
      </c>
      <c r="G312" s="11" t="s">
        <v>3390</v>
      </c>
      <c r="H312" s="8" t="s">
        <v>2220</v>
      </c>
      <c r="I312" s="11" t="s">
        <v>3391</v>
      </c>
    </row>
    <row r="313" customFormat="false" ht="23.85" hidden="false" customHeight="false" outlineLevel="0" collapsed="false">
      <c r="A313" s="8" t="n">
        <v>147</v>
      </c>
      <c r="B313" s="15" t="n">
        <v>46375</v>
      </c>
      <c r="C313" s="8" t="s">
        <v>1636</v>
      </c>
      <c r="D313" s="8" t="n">
        <v>6</v>
      </c>
      <c r="E313" s="8" t="s">
        <v>2235</v>
      </c>
      <c r="F313" s="11" t="s">
        <v>3392</v>
      </c>
      <c r="G313" s="11" t="s">
        <v>3393</v>
      </c>
      <c r="H313" s="8" t="s">
        <v>2220</v>
      </c>
      <c r="I313" s="11" t="s">
        <v>3394</v>
      </c>
    </row>
    <row r="314" customFormat="false" ht="23.85" hidden="false" customHeight="false" outlineLevel="0" collapsed="false">
      <c r="A314" s="8" t="n">
        <v>149</v>
      </c>
      <c r="B314" s="15" t="n">
        <v>46376</v>
      </c>
      <c r="C314" s="8" t="s">
        <v>1656</v>
      </c>
      <c r="D314" s="8" t="n">
        <v>1</v>
      </c>
      <c r="E314" s="8" t="s">
        <v>3395</v>
      </c>
      <c r="F314" s="11" t="s">
        <v>1658</v>
      </c>
      <c r="G314" s="11" t="s">
        <v>3396</v>
      </c>
      <c r="H314" s="8" t="s">
        <v>3397</v>
      </c>
      <c r="I314" s="11" t="s">
        <v>3398</v>
      </c>
    </row>
    <row r="315" customFormat="false" ht="35.05" hidden="false" customHeight="false" outlineLevel="0" collapsed="false">
      <c r="A315" s="8" t="n">
        <v>149</v>
      </c>
      <c r="B315" s="15" t="n">
        <v>46376</v>
      </c>
      <c r="C315" s="8" t="s">
        <v>1656</v>
      </c>
      <c r="D315" s="8" t="n">
        <v>2</v>
      </c>
      <c r="E315" s="8" t="s">
        <v>3399</v>
      </c>
      <c r="F315" s="11" t="s">
        <v>3400</v>
      </c>
      <c r="G315" s="11" t="s">
        <v>3401</v>
      </c>
      <c r="H315" s="8" t="s">
        <v>2220</v>
      </c>
      <c r="I315" s="11" t="s">
        <v>3402</v>
      </c>
    </row>
    <row r="316" customFormat="false" ht="35.05" hidden="false" customHeight="false" outlineLevel="0" collapsed="false">
      <c r="A316" s="8" t="n">
        <v>149</v>
      </c>
      <c r="B316" s="15" t="n">
        <v>46376</v>
      </c>
      <c r="C316" s="8" t="s">
        <v>1656</v>
      </c>
      <c r="D316" s="8" t="n">
        <v>3</v>
      </c>
      <c r="E316" s="8" t="s">
        <v>3403</v>
      </c>
      <c r="F316" s="11" t="s">
        <v>3404</v>
      </c>
      <c r="G316" s="11" t="s">
        <v>3405</v>
      </c>
      <c r="H316" s="8" t="s">
        <v>2220</v>
      </c>
      <c r="I316" s="11" t="s">
        <v>3406</v>
      </c>
    </row>
    <row r="317" customFormat="false" ht="23.85" hidden="false" customHeight="false" outlineLevel="0" collapsed="false">
      <c r="A317" s="8" t="n">
        <v>149</v>
      </c>
      <c r="B317" s="15" t="n">
        <v>46376</v>
      </c>
      <c r="C317" s="8" t="s">
        <v>1656</v>
      </c>
      <c r="D317" s="8" t="n">
        <v>4</v>
      </c>
      <c r="E317" s="8" t="s">
        <v>3407</v>
      </c>
      <c r="F317" s="11" t="s">
        <v>3408</v>
      </c>
      <c r="G317" s="11" t="s">
        <v>3409</v>
      </c>
      <c r="H317" s="8" t="s">
        <v>3410</v>
      </c>
      <c r="I317" s="11" t="s">
        <v>3411</v>
      </c>
    </row>
    <row r="318" customFormat="false" ht="35.05" hidden="false" customHeight="false" outlineLevel="0" collapsed="false">
      <c r="A318" s="8" t="n">
        <v>149</v>
      </c>
      <c r="B318" s="15" t="n">
        <v>46376</v>
      </c>
      <c r="C318" s="8" t="s">
        <v>1656</v>
      </c>
      <c r="D318" s="8" t="n">
        <v>5</v>
      </c>
      <c r="E318" s="8" t="s">
        <v>3412</v>
      </c>
      <c r="F318" s="11" t="s">
        <v>3413</v>
      </c>
      <c r="G318" s="11" t="s">
        <v>3414</v>
      </c>
      <c r="H318" s="8" t="s">
        <v>2220</v>
      </c>
      <c r="I318" s="11" t="s">
        <v>3415</v>
      </c>
    </row>
    <row r="319" customFormat="false" ht="23.85" hidden="false" customHeight="false" outlineLevel="0" collapsed="false">
      <c r="A319" s="8" t="n">
        <v>149</v>
      </c>
      <c r="B319" s="15" t="n">
        <v>46376</v>
      </c>
      <c r="C319" s="8" t="s">
        <v>1656</v>
      </c>
      <c r="D319" s="8" t="n">
        <v>6</v>
      </c>
      <c r="E319" s="8" t="s">
        <v>2235</v>
      </c>
      <c r="F319" s="11" t="s">
        <v>3416</v>
      </c>
      <c r="G319" s="11" t="s">
        <v>3417</v>
      </c>
      <c r="H319" s="8" t="s">
        <v>2220</v>
      </c>
      <c r="I319" s="11" t="s">
        <v>3418</v>
      </c>
    </row>
    <row r="320" customFormat="false" ht="23.85" hidden="false" customHeight="false" outlineLevel="0" collapsed="false">
      <c r="A320" s="8" t="n">
        <v>151</v>
      </c>
      <c r="B320" s="15" t="n">
        <v>46377</v>
      </c>
      <c r="C320" s="8" t="s">
        <v>1677</v>
      </c>
      <c r="D320" s="8" t="n">
        <v>1</v>
      </c>
      <c r="E320" s="8" t="s">
        <v>3419</v>
      </c>
      <c r="F320" s="11" t="s">
        <v>1679</v>
      </c>
      <c r="G320" s="11" t="s">
        <v>3420</v>
      </c>
      <c r="H320" s="8" t="s">
        <v>3421</v>
      </c>
      <c r="I320" s="11" t="s">
        <v>3422</v>
      </c>
    </row>
    <row r="321" customFormat="false" ht="35.05" hidden="false" customHeight="false" outlineLevel="0" collapsed="false">
      <c r="A321" s="8" t="n">
        <v>151</v>
      </c>
      <c r="B321" s="15" t="n">
        <v>46377</v>
      </c>
      <c r="C321" s="8" t="s">
        <v>1677</v>
      </c>
      <c r="D321" s="8" t="n">
        <v>2</v>
      </c>
      <c r="E321" s="8" t="s">
        <v>2217</v>
      </c>
      <c r="F321" s="11" t="s">
        <v>3423</v>
      </c>
      <c r="G321" s="11" t="s">
        <v>3424</v>
      </c>
      <c r="H321" s="8" t="s">
        <v>2220</v>
      </c>
      <c r="I321" s="11" t="s">
        <v>3425</v>
      </c>
    </row>
    <row r="322" customFormat="false" ht="46.25" hidden="false" customHeight="false" outlineLevel="0" collapsed="false">
      <c r="A322" s="8" t="n">
        <v>151</v>
      </c>
      <c r="B322" s="15" t="n">
        <v>46377</v>
      </c>
      <c r="C322" s="8" t="s">
        <v>1677</v>
      </c>
      <c r="D322" s="8" t="n">
        <v>3</v>
      </c>
      <c r="E322" s="8" t="s">
        <v>3426</v>
      </c>
      <c r="F322" s="11" t="s">
        <v>3427</v>
      </c>
      <c r="G322" s="11" t="s">
        <v>3428</v>
      </c>
      <c r="H322" s="8" t="s">
        <v>3429</v>
      </c>
      <c r="I322" s="11" t="s">
        <v>3430</v>
      </c>
    </row>
    <row r="323" customFormat="false" ht="46.25" hidden="false" customHeight="false" outlineLevel="0" collapsed="false">
      <c r="A323" s="8" t="n">
        <v>151</v>
      </c>
      <c r="B323" s="15" t="n">
        <v>46377</v>
      </c>
      <c r="C323" s="8" t="s">
        <v>1677</v>
      </c>
      <c r="D323" s="8" t="n">
        <v>4</v>
      </c>
      <c r="E323" s="8" t="s">
        <v>3431</v>
      </c>
      <c r="F323" s="11" t="s">
        <v>3432</v>
      </c>
      <c r="G323" s="11" t="s">
        <v>3433</v>
      </c>
      <c r="H323" s="8" t="s">
        <v>2220</v>
      </c>
      <c r="I323" s="11" t="s">
        <v>3434</v>
      </c>
    </row>
    <row r="324" customFormat="false" ht="23.85" hidden="false" customHeight="false" outlineLevel="0" collapsed="false">
      <c r="A324" s="8" t="n">
        <v>151</v>
      </c>
      <c r="B324" s="15" t="n">
        <v>46377</v>
      </c>
      <c r="C324" s="8" t="s">
        <v>1677</v>
      </c>
      <c r="D324" s="8" t="n">
        <v>5</v>
      </c>
      <c r="E324" s="8" t="s">
        <v>3435</v>
      </c>
      <c r="F324" s="11" t="s">
        <v>3436</v>
      </c>
      <c r="G324" s="11" t="s">
        <v>3437</v>
      </c>
      <c r="H324" s="8" t="s">
        <v>2220</v>
      </c>
      <c r="I324" s="11" t="s">
        <v>3438</v>
      </c>
    </row>
    <row r="325" customFormat="false" ht="23.85" hidden="false" customHeight="false" outlineLevel="0" collapsed="false">
      <c r="A325" s="8" t="n">
        <v>151</v>
      </c>
      <c r="B325" s="15" t="n">
        <v>46377</v>
      </c>
      <c r="C325" s="8" t="s">
        <v>1677</v>
      </c>
      <c r="D325" s="8" t="n">
        <v>6</v>
      </c>
      <c r="E325" s="8" t="s">
        <v>2235</v>
      </c>
      <c r="F325" s="11" t="s">
        <v>3439</v>
      </c>
      <c r="G325" s="11" t="s">
        <v>3440</v>
      </c>
      <c r="H325" s="8" t="s">
        <v>3429</v>
      </c>
      <c r="I325" s="11" t="s">
        <v>3441</v>
      </c>
    </row>
    <row r="326" customFormat="false" ht="23.85" hidden="false" customHeight="false" outlineLevel="0" collapsed="false">
      <c r="A326" s="8" t="n">
        <v>153</v>
      </c>
      <c r="B326" s="15" t="n">
        <v>46378</v>
      </c>
      <c r="C326" s="8" t="s">
        <v>1700</v>
      </c>
      <c r="D326" s="8" t="n">
        <v>1</v>
      </c>
      <c r="E326" s="8" t="s">
        <v>3442</v>
      </c>
      <c r="F326" s="11" t="s">
        <v>1702</v>
      </c>
      <c r="G326" s="11" t="s">
        <v>3443</v>
      </c>
      <c r="H326" s="8" t="s">
        <v>1707</v>
      </c>
      <c r="I326" s="11" t="s">
        <v>3444</v>
      </c>
    </row>
    <row r="327" customFormat="false" ht="23.85" hidden="false" customHeight="false" outlineLevel="0" collapsed="false">
      <c r="A327" s="8" t="n">
        <v>153</v>
      </c>
      <c r="B327" s="15" t="n">
        <v>46378</v>
      </c>
      <c r="C327" s="8" t="s">
        <v>1700</v>
      </c>
      <c r="D327" s="8" t="n">
        <v>2</v>
      </c>
      <c r="E327" s="8" t="s">
        <v>3445</v>
      </c>
      <c r="F327" s="11" t="s">
        <v>3446</v>
      </c>
      <c r="G327" s="11" t="s">
        <v>3447</v>
      </c>
      <c r="H327" s="8" t="s">
        <v>2220</v>
      </c>
      <c r="I327" s="11" t="s">
        <v>3448</v>
      </c>
    </row>
    <row r="328" customFormat="false" ht="23.85" hidden="false" customHeight="false" outlineLevel="0" collapsed="false">
      <c r="A328" s="8" t="n">
        <v>153</v>
      </c>
      <c r="B328" s="15" t="n">
        <v>46378</v>
      </c>
      <c r="C328" s="8" t="s">
        <v>1700</v>
      </c>
      <c r="D328" s="8" t="n">
        <v>3</v>
      </c>
      <c r="E328" s="8" t="s">
        <v>3449</v>
      </c>
      <c r="F328" s="11" t="s">
        <v>3450</v>
      </c>
      <c r="G328" s="11" t="s">
        <v>3451</v>
      </c>
      <c r="H328" s="8" t="s">
        <v>2220</v>
      </c>
      <c r="I328" s="11" t="s">
        <v>3452</v>
      </c>
    </row>
    <row r="329" customFormat="false" ht="46.25" hidden="false" customHeight="false" outlineLevel="0" collapsed="false">
      <c r="A329" s="8" t="n">
        <v>153</v>
      </c>
      <c r="B329" s="15" t="n">
        <v>46378</v>
      </c>
      <c r="C329" s="8" t="s">
        <v>1700</v>
      </c>
      <c r="D329" s="8" t="n">
        <v>4</v>
      </c>
      <c r="E329" s="8" t="s">
        <v>2302</v>
      </c>
      <c r="F329" s="11" t="s">
        <v>3453</v>
      </c>
      <c r="G329" s="11" t="s">
        <v>3454</v>
      </c>
      <c r="H329" s="8" t="s">
        <v>2220</v>
      </c>
      <c r="I329" s="11" t="s">
        <v>3455</v>
      </c>
    </row>
    <row r="330" customFormat="false" ht="46.25" hidden="false" customHeight="false" outlineLevel="0" collapsed="false">
      <c r="A330" s="8" t="n">
        <v>153</v>
      </c>
      <c r="B330" s="15" t="n">
        <v>46378</v>
      </c>
      <c r="C330" s="8" t="s">
        <v>1700</v>
      </c>
      <c r="D330" s="8" t="n">
        <v>5</v>
      </c>
      <c r="E330" s="8" t="s">
        <v>3456</v>
      </c>
      <c r="F330" s="11" t="s">
        <v>3457</v>
      </c>
      <c r="G330" s="11" t="s">
        <v>3458</v>
      </c>
      <c r="H330" s="8" t="s">
        <v>1707</v>
      </c>
      <c r="I330" s="11" t="s">
        <v>3459</v>
      </c>
    </row>
    <row r="331" customFormat="false" ht="23.85" hidden="false" customHeight="false" outlineLevel="0" collapsed="false">
      <c r="A331" s="8" t="n">
        <v>153</v>
      </c>
      <c r="B331" s="15" t="n">
        <v>46378</v>
      </c>
      <c r="C331" s="8" t="s">
        <v>1700</v>
      </c>
      <c r="D331" s="8" t="n">
        <v>6</v>
      </c>
      <c r="E331" s="8" t="s">
        <v>3460</v>
      </c>
      <c r="F331" s="11" t="s">
        <v>3461</v>
      </c>
      <c r="G331" s="11" t="s">
        <v>3462</v>
      </c>
      <c r="H331" s="8" t="s">
        <v>2220</v>
      </c>
      <c r="I331" s="11" t="s">
        <v>3463</v>
      </c>
    </row>
    <row r="332" customFormat="false" ht="23.85" hidden="false" customHeight="false" outlineLevel="0" collapsed="false">
      <c r="A332" s="8" t="n">
        <v>155</v>
      </c>
      <c r="B332" s="15" t="n">
        <v>46379</v>
      </c>
      <c r="C332" s="8" t="s">
        <v>1721</v>
      </c>
      <c r="D332" s="8" t="n">
        <v>1</v>
      </c>
      <c r="E332" s="8" t="s">
        <v>3464</v>
      </c>
      <c r="F332" s="11" t="s">
        <v>1723</v>
      </c>
      <c r="G332" s="11" t="s">
        <v>3465</v>
      </c>
      <c r="H332" s="8" t="s">
        <v>3466</v>
      </c>
      <c r="I332" s="11" t="s">
        <v>3467</v>
      </c>
    </row>
    <row r="333" customFormat="false" ht="23.85" hidden="false" customHeight="false" outlineLevel="0" collapsed="false">
      <c r="A333" s="8" t="n">
        <v>155</v>
      </c>
      <c r="B333" s="15" t="n">
        <v>46379</v>
      </c>
      <c r="C333" s="8" t="s">
        <v>1721</v>
      </c>
      <c r="D333" s="8" t="n">
        <v>2</v>
      </c>
      <c r="E333" s="8" t="s">
        <v>3468</v>
      </c>
      <c r="F333" s="11" t="s">
        <v>3469</v>
      </c>
      <c r="G333" s="11" t="s">
        <v>3470</v>
      </c>
      <c r="H333" s="8" t="s">
        <v>2220</v>
      </c>
      <c r="I333" s="11" t="s">
        <v>3471</v>
      </c>
    </row>
    <row r="334" customFormat="false" ht="23.85" hidden="false" customHeight="false" outlineLevel="0" collapsed="false">
      <c r="A334" s="8" t="n">
        <v>155</v>
      </c>
      <c r="B334" s="15" t="n">
        <v>46379</v>
      </c>
      <c r="C334" s="8" t="s">
        <v>1721</v>
      </c>
      <c r="D334" s="8" t="n">
        <v>3</v>
      </c>
      <c r="E334" s="8" t="s">
        <v>3472</v>
      </c>
      <c r="F334" s="11" t="s">
        <v>3473</v>
      </c>
      <c r="G334" s="11" t="s">
        <v>3474</v>
      </c>
      <c r="H334" s="8" t="s">
        <v>2220</v>
      </c>
      <c r="I334" s="11" t="s">
        <v>3475</v>
      </c>
    </row>
    <row r="335" customFormat="false" ht="23.85" hidden="false" customHeight="false" outlineLevel="0" collapsed="false">
      <c r="A335" s="8" t="n">
        <v>155</v>
      </c>
      <c r="B335" s="15" t="n">
        <v>46379</v>
      </c>
      <c r="C335" s="8" t="s">
        <v>1721</v>
      </c>
      <c r="D335" s="8" t="n">
        <v>4</v>
      </c>
      <c r="E335" s="8" t="s">
        <v>3476</v>
      </c>
      <c r="F335" s="11" t="s">
        <v>3477</v>
      </c>
      <c r="G335" s="11" t="s">
        <v>3478</v>
      </c>
      <c r="H335" s="8" t="s">
        <v>3479</v>
      </c>
      <c r="I335" s="11" t="s">
        <v>3480</v>
      </c>
    </row>
    <row r="336" customFormat="false" ht="35.05" hidden="false" customHeight="false" outlineLevel="0" collapsed="false">
      <c r="A336" s="8" t="n">
        <v>155</v>
      </c>
      <c r="B336" s="15" t="n">
        <v>46379</v>
      </c>
      <c r="C336" s="8" t="s">
        <v>1721</v>
      </c>
      <c r="D336" s="8" t="n">
        <v>5</v>
      </c>
      <c r="E336" s="8" t="s">
        <v>3481</v>
      </c>
      <c r="F336" s="11" t="s">
        <v>3482</v>
      </c>
      <c r="G336" s="11" t="s">
        <v>3483</v>
      </c>
      <c r="H336" s="8" t="s">
        <v>2220</v>
      </c>
      <c r="I336" s="11" t="s">
        <v>3484</v>
      </c>
    </row>
    <row r="337" customFormat="false" ht="23.85" hidden="false" customHeight="false" outlineLevel="0" collapsed="false">
      <c r="A337" s="8" t="n">
        <v>155</v>
      </c>
      <c r="B337" s="15" t="n">
        <v>46379</v>
      </c>
      <c r="C337" s="8" t="s">
        <v>1721</v>
      </c>
      <c r="D337" s="8" t="n">
        <v>6</v>
      </c>
      <c r="E337" s="8" t="s">
        <v>2235</v>
      </c>
      <c r="F337" s="11" t="s">
        <v>3485</v>
      </c>
      <c r="G337" s="11" t="s">
        <v>3486</v>
      </c>
      <c r="H337" s="8" t="s">
        <v>2220</v>
      </c>
      <c r="I337" s="11" t="s">
        <v>3487</v>
      </c>
    </row>
    <row r="338" customFormat="false" ht="23.85" hidden="false" customHeight="false" outlineLevel="0" collapsed="false">
      <c r="A338" s="8" t="n">
        <v>161</v>
      </c>
      <c r="B338" s="15" t="n">
        <v>46382</v>
      </c>
      <c r="C338" s="8" t="s">
        <v>1787</v>
      </c>
      <c r="D338" s="8" t="n">
        <v>1</v>
      </c>
      <c r="E338" s="8" t="s">
        <v>3488</v>
      </c>
      <c r="F338" s="11" t="s">
        <v>1789</v>
      </c>
      <c r="G338" s="11" t="s">
        <v>3489</v>
      </c>
      <c r="H338" s="8" t="s">
        <v>1794</v>
      </c>
      <c r="I338" s="11" t="s">
        <v>3490</v>
      </c>
    </row>
    <row r="339" customFormat="false" ht="23.85" hidden="false" customHeight="false" outlineLevel="0" collapsed="false">
      <c r="A339" s="8" t="n">
        <v>161</v>
      </c>
      <c r="B339" s="15" t="n">
        <v>46382</v>
      </c>
      <c r="C339" s="8" t="s">
        <v>1787</v>
      </c>
      <c r="D339" s="8" t="n">
        <v>2</v>
      </c>
      <c r="E339" s="8" t="s">
        <v>3491</v>
      </c>
      <c r="F339" s="11" t="s">
        <v>3492</v>
      </c>
      <c r="G339" s="11" t="s">
        <v>3493</v>
      </c>
      <c r="H339" s="8" t="s">
        <v>2220</v>
      </c>
      <c r="I339" s="11" t="s">
        <v>3494</v>
      </c>
    </row>
    <row r="340" customFormat="false" ht="23.85" hidden="false" customHeight="false" outlineLevel="0" collapsed="false">
      <c r="A340" s="8" t="n">
        <v>161</v>
      </c>
      <c r="B340" s="15" t="n">
        <v>46382</v>
      </c>
      <c r="C340" s="8" t="s">
        <v>1787</v>
      </c>
      <c r="D340" s="8" t="n">
        <v>3</v>
      </c>
      <c r="E340" s="8" t="s">
        <v>3495</v>
      </c>
      <c r="F340" s="11" t="s">
        <v>3496</v>
      </c>
      <c r="G340" s="11" t="s">
        <v>3497</v>
      </c>
      <c r="H340" s="8" t="s">
        <v>2220</v>
      </c>
      <c r="I340" s="11" t="s">
        <v>3498</v>
      </c>
    </row>
    <row r="341" customFormat="false" ht="23.85" hidden="false" customHeight="false" outlineLevel="0" collapsed="false">
      <c r="A341" s="8" t="n">
        <v>161</v>
      </c>
      <c r="B341" s="15" t="n">
        <v>46382</v>
      </c>
      <c r="C341" s="8" t="s">
        <v>1787</v>
      </c>
      <c r="D341" s="8" t="n">
        <v>4</v>
      </c>
      <c r="E341" s="8" t="s">
        <v>3499</v>
      </c>
      <c r="F341" s="11" t="s">
        <v>3500</v>
      </c>
      <c r="G341" s="11" t="s">
        <v>3501</v>
      </c>
      <c r="H341" s="8" t="s">
        <v>1794</v>
      </c>
      <c r="I341" s="11" t="s">
        <v>3502</v>
      </c>
    </row>
    <row r="342" customFormat="false" ht="46.25" hidden="false" customHeight="false" outlineLevel="0" collapsed="false">
      <c r="A342" s="8" t="n">
        <v>161</v>
      </c>
      <c r="B342" s="15" t="n">
        <v>46382</v>
      </c>
      <c r="C342" s="8" t="s">
        <v>1787</v>
      </c>
      <c r="D342" s="8" t="n">
        <v>5</v>
      </c>
      <c r="E342" s="8" t="s">
        <v>2302</v>
      </c>
      <c r="F342" s="11" t="s">
        <v>3503</v>
      </c>
      <c r="G342" s="11" t="s">
        <v>3504</v>
      </c>
      <c r="H342" s="8" t="s">
        <v>2220</v>
      </c>
      <c r="I342" s="11" t="s">
        <v>3505</v>
      </c>
    </row>
    <row r="343" customFormat="false" ht="23.85" hidden="false" customHeight="false" outlineLevel="0" collapsed="false">
      <c r="A343" s="8" t="n">
        <v>161</v>
      </c>
      <c r="B343" s="15" t="n">
        <v>46382</v>
      </c>
      <c r="C343" s="8" t="s">
        <v>1787</v>
      </c>
      <c r="D343" s="8" t="n">
        <v>6</v>
      </c>
      <c r="E343" s="8" t="s">
        <v>2235</v>
      </c>
      <c r="F343" s="11" t="s">
        <v>3506</v>
      </c>
      <c r="G343" s="11" t="s">
        <v>3507</v>
      </c>
      <c r="H343" s="8" t="s">
        <v>2220</v>
      </c>
      <c r="I343" s="11" t="s">
        <v>3508</v>
      </c>
    </row>
    <row r="344" customFormat="false" ht="23.85" hidden="false" customHeight="false" outlineLevel="0" collapsed="false">
      <c r="A344" s="8" t="n">
        <v>165</v>
      </c>
      <c r="B344" s="15" t="n">
        <v>46384</v>
      </c>
      <c r="C344" s="8" t="s">
        <v>1828</v>
      </c>
      <c r="D344" s="8" t="n">
        <v>1</v>
      </c>
      <c r="E344" s="8" t="s">
        <v>3509</v>
      </c>
      <c r="F344" s="11" t="s">
        <v>1830</v>
      </c>
      <c r="G344" s="11" t="s">
        <v>3510</v>
      </c>
      <c r="H344" s="8" t="s">
        <v>3511</v>
      </c>
      <c r="I344" s="11" t="s">
        <v>3512</v>
      </c>
    </row>
    <row r="345" customFormat="false" ht="23.85" hidden="false" customHeight="false" outlineLevel="0" collapsed="false">
      <c r="A345" s="8" t="n">
        <v>165</v>
      </c>
      <c r="B345" s="15" t="n">
        <v>46384</v>
      </c>
      <c r="C345" s="8" t="s">
        <v>1828</v>
      </c>
      <c r="D345" s="8" t="n">
        <v>2</v>
      </c>
      <c r="E345" s="8" t="s">
        <v>3513</v>
      </c>
      <c r="F345" s="11" t="s">
        <v>3514</v>
      </c>
      <c r="G345" s="11" t="s">
        <v>3515</v>
      </c>
      <c r="H345" s="8" t="s">
        <v>2220</v>
      </c>
      <c r="I345" s="11" t="s">
        <v>3516</v>
      </c>
    </row>
    <row r="346" customFormat="false" ht="35.05" hidden="false" customHeight="false" outlineLevel="0" collapsed="false">
      <c r="A346" s="8" t="n">
        <v>165</v>
      </c>
      <c r="B346" s="15" t="n">
        <v>46384</v>
      </c>
      <c r="C346" s="8" t="s">
        <v>1828</v>
      </c>
      <c r="D346" s="8" t="n">
        <v>3</v>
      </c>
      <c r="E346" s="8" t="s">
        <v>3517</v>
      </c>
      <c r="F346" s="11" t="s">
        <v>3518</v>
      </c>
      <c r="G346" s="11" t="s">
        <v>3519</v>
      </c>
      <c r="H346" s="8" t="s">
        <v>3520</v>
      </c>
      <c r="I346" s="11" t="s">
        <v>3521</v>
      </c>
    </row>
    <row r="347" customFormat="false" ht="35.05" hidden="false" customHeight="false" outlineLevel="0" collapsed="false">
      <c r="A347" s="8" t="n">
        <v>165</v>
      </c>
      <c r="B347" s="15" t="n">
        <v>46384</v>
      </c>
      <c r="C347" s="8" t="s">
        <v>1828</v>
      </c>
      <c r="D347" s="8" t="n">
        <v>4</v>
      </c>
      <c r="E347" s="8" t="s">
        <v>3522</v>
      </c>
      <c r="F347" s="11" t="s">
        <v>3523</v>
      </c>
      <c r="G347" s="11" t="s">
        <v>3524</v>
      </c>
      <c r="H347" s="8" t="s">
        <v>2220</v>
      </c>
      <c r="I347" s="11" t="s">
        <v>3525</v>
      </c>
    </row>
    <row r="348" customFormat="false" ht="35.05" hidden="false" customHeight="false" outlineLevel="0" collapsed="false">
      <c r="A348" s="8" t="n">
        <v>165</v>
      </c>
      <c r="B348" s="15" t="n">
        <v>46384</v>
      </c>
      <c r="C348" s="8" t="s">
        <v>1828</v>
      </c>
      <c r="D348" s="8" t="n">
        <v>5</v>
      </c>
      <c r="E348" s="8" t="s">
        <v>3526</v>
      </c>
      <c r="F348" s="11" t="s">
        <v>3527</v>
      </c>
      <c r="G348" s="11" t="s">
        <v>3528</v>
      </c>
      <c r="H348" s="8" t="s">
        <v>2220</v>
      </c>
      <c r="I348" s="11" t="s">
        <v>3529</v>
      </c>
    </row>
    <row r="349" customFormat="false" ht="23.85" hidden="false" customHeight="false" outlineLevel="0" collapsed="false">
      <c r="A349" s="8" t="n">
        <v>165</v>
      </c>
      <c r="B349" s="15" t="n">
        <v>46384</v>
      </c>
      <c r="C349" s="8" t="s">
        <v>1828</v>
      </c>
      <c r="D349" s="8" t="n">
        <v>6</v>
      </c>
      <c r="E349" s="8" t="s">
        <v>3530</v>
      </c>
      <c r="F349" s="11" t="s">
        <v>3531</v>
      </c>
      <c r="G349" s="11" t="s">
        <v>3532</v>
      </c>
      <c r="H349" s="8" t="s">
        <v>2220</v>
      </c>
      <c r="I349" s="11" t="s">
        <v>3533</v>
      </c>
    </row>
    <row r="350" customFormat="false" ht="23.85" hidden="false" customHeight="false" outlineLevel="0" collapsed="false">
      <c r="A350" s="8" t="n">
        <v>167</v>
      </c>
      <c r="B350" s="15" t="n">
        <v>46385</v>
      </c>
      <c r="C350" s="8" t="s">
        <v>1848</v>
      </c>
      <c r="D350" s="8" t="n">
        <v>1</v>
      </c>
      <c r="E350" s="8" t="s">
        <v>3534</v>
      </c>
      <c r="F350" s="11" t="s">
        <v>1850</v>
      </c>
      <c r="G350" s="11" t="s">
        <v>3535</v>
      </c>
      <c r="H350" s="8" t="s">
        <v>3536</v>
      </c>
      <c r="I350" s="11" t="s">
        <v>3537</v>
      </c>
    </row>
    <row r="351" customFormat="false" ht="46.25" hidden="false" customHeight="false" outlineLevel="0" collapsed="false">
      <c r="A351" s="8" t="n">
        <v>167</v>
      </c>
      <c r="B351" s="15" t="n">
        <v>46385</v>
      </c>
      <c r="C351" s="8" t="s">
        <v>1848</v>
      </c>
      <c r="D351" s="8" t="n">
        <v>2</v>
      </c>
      <c r="E351" s="8" t="s">
        <v>3538</v>
      </c>
      <c r="F351" s="11" t="s">
        <v>3539</v>
      </c>
      <c r="G351" s="11" t="s">
        <v>3540</v>
      </c>
      <c r="H351" s="8" t="s">
        <v>2220</v>
      </c>
      <c r="I351" s="11" t="s">
        <v>3541</v>
      </c>
    </row>
    <row r="352" customFormat="false" ht="23.85" hidden="false" customHeight="false" outlineLevel="0" collapsed="false">
      <c r="A352" s="8" t="n">
        <v>167</v>
      </c>
      <c r="B352" s="15" t="n">
        <v>46385</v>
      </c>
      <c r="C352" s="8" t="s">
        <v>1848</v>
      </c>
      <c r="D352" s="8" t="n">
        <v>3</v>
      </c>
      <c r="E352" s="8" t="s">
        <v>3542</v>
      </c>
      <c r="F352" s="11" t="s">
        <v>3543</v>
      </c>
      <c r="G352" s="11" t="s">
        <v>3544</v>
      </c>
      <c r="H352" s="8" t="s">
        <v>2220</v>
      </c>
      <c r="I352" s="11" t="s">
        <v>3545</v>
      </c>
    </row>
    <row r="353" customFormat="false" ht="23.85" hidden="false" customHeight="false" outlineLevel="0" collapsed="false">
      <c r="A353" s="8" t="n">
        <v>167</v>
      </c>
      <c r="B353" s="15" t="n">
        <v>46385</v>
      </c>
      <c r="C353" s="8" t="s">
        <v>1848</v>
      </c>
      <c r="D353" s="8" t="n">
        <v>4</v>
      </c>
      <c r="E353" s="8" t="s">
        <v>2414</v>
      </c>
      <c r="F353" s="11" t="s">
        <v>3546</v>
      </c>
      <c r="G353" s="11" t="s">
        <v>3547</v>
      </c>
      <c r="H353" s="8" t="s">
        <v>2220</v>
      </c>
      <c r="I353" s="11" t="s">
        <v>3548</v>
      </c>
    </row>
    <row r="354" customFormat="false" ht="46.25" hidden="false" customHeight="false" outlineLevel="0" collapsed="false">
      <c r="A354" s="8" t="n">
        <v>167</v>
      </c>
      <c r="B354" s="15" t="n">
        <v>46385</v>
      </c>
      <c r="C354" s="8" t="s">
        <v>1848</v>
      </c>
      <c r="D354" s="8" t="n">
        <v>5</v>
      </c>
      <c r="E354" s="8" t="s">
        <v>2302</v>
      </c>
      <c r="F354" s="11" t="s">
        <v>3549</v>
      </c>
      <c r="G354" s="11" t="s">
        <v>3550</v>
      </c>
      <c r="H354" s="8" t="s">
        <v>3551</v>
      </c>
      <c r="I354" s="11" t="s">
        <v>3552</v>
      </c>
    </row>
    <row r="355" customFormat="false" ht="23.85" hidden="false" customHeight="false" outlineLevel="0" collapsed="false">
      <c r="A355" s="8" t="n">
        <v>167</v>
      </c>
      <c r="B355" s="15" t="n">
        <v>46385</v>
      </c>
      <c r="C355" s="8" t="s">
        <v>1848</v>
      </c>
      <c r="D355" s="8" t="n">
        <v>6</v>
      </c>
      <c r="E355" s="8" t="s">
        <v>3553</v>
      </c>
      <c r="F355" s="11" t="s">
        <v>3554</v>
      </c>
      <c r="G355" s="11" t="s">
        <v>3555</v>
      </c>
      <c r="H355" s="8" t="s">
        <v>2220</v>
      </c>
      <c r="I355" s="11" t="s">
        <v>3556</v>
      </c>
    </row>
    <row r="356" customFormat="false" ht="23.85" hidden="false" customHeight="false" outlineLevel="0" collapsed="false">
      <c r="A356" s="8" t="n">
        <v>173</v>
      </c>
      <c r="B356" s="15" t="n">
        <v>46388</v>
      </c>
      <c r="C356" s="8" t="s">
        <v>1909</v>
      </c>
      <c r="D356" s="8" t="n">
        <v>1</v>
      </c>
      <c r="E356" s="8" t="s">
        <v>3557</v>
      </c>
      <c r="F356" s="11" t="s">
        <v>1911</v>
      </c>
      <c r="G356" s="11" t="s">
        <v>3558</v>
      </c>
      <c r="H356" s="8" t="s">
        <v>3559</v>
      </c>
      <c r="I356" s="11" t="s">
        <v>3560</v>
      </c>
    </row>
    <row r="357" customFormat="false" ht="46.25" hidden="false" customHeight="false" outlineLevel="0" collapsed="false">
      <c r="A357" s="8" t="n">
        <v>173</v>
      </c>
      <c r="B357" s="15" t="n">
        <v>46388</v>
      </c>
      <c r="C357" s="8" t="s">
        <v>1909</v>
      </c>
      <c r="D357" s="8" t="n">
        <v>2</v>
      </c>
      <c r="E357" s="8" t="s">
        <v>3561</v>
      </c>
      <c r="F357" s="11" t="s">
        <v>3562</v>
      </c>
      <c r="G357" s="11" t="s">
        <v>3563</v>
      </c>
      <c r="H357" s="8" t="s">
        <v>2220</v>
      </c>
      <c r="I357" s="11" t="s">
        <v>3564</v>
      </c>
    </row>
    <row r="358" customFormat="false" ht="46.25" hidden="false" customHeight="false" outlineLevel="0" collapsed="false">
      <c r="A358" s="8" t="n">
        <v>173</v>
      </c>
      <c r="B358" s="15" t="n">
        <v>46388</v>
      </c>
      <c r="C358" s="8" t="s">
        <v>1909</v>
      </c>
      <c r="D358" s="8" t="n">
        <v>3</v>
      </c>
      <c r="E358" s="8" t="s">
        <v>3565</v>
      </c>
      <c r="F358" s="11" t="s">
        <v>3566</v>
      </c>
      <c r="G358" s="11" t="s">
        <v>3567</v>
      </c>
      <c r="H358" s="8" t="s">
        <v>2220</v>
      </c>
      <c r="I358" s="11" t="s">
        <v>3568</v>
      </c>
    </row>
    <row r="359" customFormat="false" ht="35.05" hidden="false" customHeight="false" outlineLevel="0" collapsed="false">
      <c r="A359" s="8" t="n">
        <v>173</v>
      </c>
      <c r="B359" s="15" t="n">
        <v>46388</v>
      </c>
      <c r="C359" s="8" t="s">
        <v>1909</v>
      </c>
      <c r="D359" s="8" t="n">
        <v>4</v>
      </c>
      <c r="E359" s="8" t="s">
        <v>3569</v>
      </c>
      <c r="F359" s="11" t="s">
        <v>3570</v>
      </c>
      <c r="G359" s="11" t="s">
        <v>3571</v>
      </c>
      <c r="H359" s="8" t="s">
        <v>3572</v>
      </c>
      <c r="I359" s="11" t="s">
        <v>3573</v>
      </c>
    </row>
    <row r="360" customFormat="false" ht="46.25" hidden="false" customHeight="false" outlineLevel="0" collapsed="false">
      <c r="A360" s="8" t="n">
        <v>173</v>
      </c>
      <c r="B360" s="15" t="n">
        <v>46388</v>
      </c>
      <c r="C360" s="8" t="s">
        <v>1909</v>
      </c>
      <c r="D360" s="8" t="n">
        <v>5</v>
      </c>
      <c r="E360" s="8" t="s">
        <v>3574</v>
      </c>
      <c r="F360" s="11" t="s">
        <v>3575</v>
      </c>
      <c r="G360" s="11" t="s">
        <v>3576</v>
      </c>
      <c r="H360" s="8" t="s">
        <v>2220</v>
      </c>
      <c r="I360" s="11" t="s">
        <v>3577</v>
      </c>
    </row>
    <row r="361" customFormat="false" ht="23.85" hidden="false" customHeight="false" outlineLevel="0" collapsed="false">
      <c r="A361" s="8" t="n">
        <v>173</v>
      </c>
      <c r="B361" s="15" t="n">
        <v>46388</v>
      </c>
      <c r="C361" s="8" t="s">
        <v>1909</v>
      </c>
      <c r="D361" s="8" t="n">
        <v>6</v>
      </c>
      <c r="E361" s="8" t="s">
        <v>3578</v>
      </c>
      <c r="F361" s="11" t="s">
        <v>3579</v>
      </c>
      <c r="G361" s="11" t="s">
        <v>3580</v>
      </c>
      <c r="H361" s="8" t="s">
        <v>2220</v>
      </c>
      <c r="I361" s="11" t="s">
        <v>3581</v>
      </c>
    </row>
    <row r="362" customFormat="false" ht="23.85" hidden="false" customHeight="false" outlineLevel="0" collapsed="false">
      <c r="A362" s="8" t="n">
        <v>175</v>
      </c>
      <c r="B362" s="15" t="n">
        <v>46389</v>
      </c>
      <c r="C362" s="8" t="s">
        <v>1931</v>
      </c>
      <c r="D362" s="8" t="n">
        <v>1</v>
      </c>
      <c r="E362" s="8" t="s">
        <v>3582</v>
      </c>
      <c r="F362" s="11" t="s">
        <v>1933</v>
      </c>
      <c r="G362" s="11" t="s">
        <v>3583</v>
      </c>
      <c r="H362" s="8" t="s">
        <v>1939</v>
      </c>
      <c r="I362" s="11" t="s">
        <v>3584</v>
      </c>
    </row>
    <row r="363" customFormat="false" ht="46.25" hidden="false" customHeight="false" outlineLevel="0" collapsed="false">
      <c r="A363" s="8" t="n">
        <v>175</v>
      </c>
      <c r="B363" s="15" t="n">
        <v>46389</v>
      </c>
      <c r="C363" s="8" t="s">
        <v>1931</v>
      </c>
      <c r="D363" s="8" t="n">
        <v>2</v>
      </c>
      <c r="E363" s="8" t="s">
        <v>3585</v>
      </c>
      <c r="F363" s="11" t="s">
        <v>3586</v>
      </c>
      <c r="G363" s="11" t="s">
        <v>3587</v>
      </c>
      <c r="H363" s="8" t="s">
        <v>2220</v>
      </c>
      <c r="I363" s="11" t="s">
        <v>3588</v>
      </c>
    </row>
    <row r="364" customFormat="false" ht="23.85" hidden="false" customHeight="false" outlineLevel="0" collapsed="false">
      <c r="A364" s="8" t="n">
        <v>175</v>
      </c>
      <c r="B364" s="15" t="n">
        <v>46389</v>
      </c>
      <c r="C364" s="8" t="s">
        <v>1931</v>
      </c>
      <c r="D364" s="8" t="n">
        <v>3</v>
      </c>
      <c r="E364" s="8" t="s">
        <v>3589</v>
      </c>
      <c r="F364" s="11" t="s">
        <v>3590</v>
      </c>
      <c r="G364" s="11" t="s">
        <v>3591</v>
      </c>
      <c r="H364" s="8" t="s">
        <v>2220</v>
      </c>
      <c r="I364" s="11" t="s">
        <v>3592</v>
      </c>
    </row>
    <row r="365" customFormat="false" ht="35.05" hidden="false" customHeight="false" outlineLevel="0" collapsed="false">
      <c r="A365" s="8" t="n">
        <v>175</v>
      </c>
      <c r="B365" s="15" t="n">
        <v>46389</v>
      </c>
      <c r="C365" s="8" t="s">
        <v>1931</v>
      </c>
      <c r="D365" s="8" t="n">
        <v>4</v>
      </c>
      <c r="E365" s="8" t="s">
        <v>3593</v>
      </c>
      <c r="F365" s="11" t="s">
        <v>3594</v>
      </c>
      <c r="G365" s="11" t="s">
        <v>3595</v>
      </c>
      <c r="H365" s="8" t="s">
        <v>1939</v>
      </c>
      <c r="I365" s="11" t="s">
        <v>3596</v>
      </c>
    </row>
    <row r="366" customFormat="false" ht="46.25" hidden="false" customHeight="false" outlineLevel="0" collapsed="false">
      <c r="A366" s="8" t="n">
        <v>175</v>
      </c>
      <c r="B366" s="15" t="n">
        <v>46389</v>
      </c>
      <c r="C366" s="8" t="s">
        <v>1931</v>
      </c>
      <c r="D366" s="8" t="n">
        <v>5</v>
      </c>
      <c r="E366" s="8" t="s">
        <v>3597</v>
      </c>
      <c r="F366" s="11" t="s">
        <v>3598</v>
      </c>
      <c r="G366" s="11" t="s">
        <v>3599</v>
      </c>
      <c r="H366" s="8" t="s">
        <v>2220</v>
      </c>
      <c r="I366" s="11" t="s">
        <v>3600</v>
      </c>
    </row>
    <row r="367" customFormat="false" ht="23.85" hidden="false" customHeight="false" outlineLevel="0" collapsed="false">
      <c r="A367" s="8" t="n">
        <v>175</v>
      </c>
      <c r="B367" s="15" t="n">
        <v>46389</v>
      </c>
      <c r="C367" s="8" t="s">
        <v>1931</v>
      </c>
      <c r="D367" s="8" t="n">
        <v>6</v>
      </c>
      <c r="E367" s="8" t="s">
        <v>2235</v>
      </c>
      <c r="F367" s="11" t="s">
        <v>3601</v>
      </c>
      <c r="G367" s="11" t="s">
        <v>3602</v>
      </c>
      <c r="H367" s="8" t="s">
        <v>2220</v>
      </c>
      <c r="I367" s="11" t="s">
        <v>3603</v>
      </c>
    </row>
    <row r="368" customFormat="false" ht="23.85" hidden="false" customHeight="false" outlineLevel="0" collapsed="false">
      <c r="A368" s="8" t="n">
        <v>177</v>
      </c>
      <c r="B368" s="15" t="n">
        <v>46390</v>
      </c>
      <c r="C368" s="8" t="s">
        <v>1953</v>
      </c>
      <c r="D368" s="8" t="n">
        <v>1</v>
      </c>
      <c r="E368" s="8" t="s">
        <v>3604</v>
      </c>
      <c r="F368" s="11" t="s">
        <v>1955</v>
      </c>
      <c r="G368" s="11" t="s">
        <v>3605</v>
      </c>
      <c r="H368" s="8" t="s">
        <v>2183</v>
      </c>
      <c r="I368" s="11" t="s">
        <v>3606</v>
      </c>
    </row>
    <row r="369" customFormat="false" ht="23.85" hidden="false" customHeight="false" outlineLevel="0" collapsed="false">
      <c r="A369" s="8" t="n">
        <v>177</v>
      </c>
      <c r="B369" s="15" t="n">
        <v>46390</v>
      </c>
      <c r="C369" s="8" t="s">
        <v>1953</v>
      </c>
      <c r="D369" s="8" t="n">
        <v>2</v>
      </c>
      <c r="E369" s="8" t="s">
        <v>3607</v>
      </c>
      <c r="F369" s="11" t="s">
        <v>3608</v>
      </c>
      <c r="G369" s="11" t="s">
        <v>3609</v>
      </c>
      <c r="H369" s="8" t="s">
        <v>2220</v>
      </c>
      <c r="I369" s="11" t="s">
        <v>3610</v>
      </c>
    </row>
    <row r="370" customFormat="false" ht="46.25" hidden="false" customHeight="false" outlineLevel="0" collapsed="false">
      <c r="A370" s="8" t="n">
        <v>177</v>
      </c>
      <c r="B370" s="15" t="n">
        <v>46390</v>
      </c>
      <c r="C370" s="8" t="s">
        <v>1953</v>
      </c>
      <c r="D370" s="8" t="n">
        <v>3</v>
      </c>
      <c r="E370" s="8" t="s">
        <v>3611</v>
      </c>
      <c r="F370" s="11" t="s">
        <v>2227</v>
      </c>
      <c r="G370" s="11" t="s">
        <v>3612</v>
      </c>
      <c r="H370" s="8" t="s">
        <v>3613</v>
      </c>
      <c r="I370" s="11" t="s">
        <v>3614</v>
      </c>
    </row>
    <row r="371" customFormat="false" ht="46.25" hidden="false" customHeight="false" outlineLevel="0" collapsed="false">
      <c r="A371" s="8" t="n">
        <v>177</v>
      </c>
      <c r="B371" s="15" t="n">
        <v>46390</v>
      </c>
      <c r="C371" s="8" t="s">
        <v>1953</v>
      </c>
      <c r="D371" s="8" t="n">
        <v>4</v>
      </c>
      <c r="E371" s="8" t="s">
        <v>3615</v>
      </c>
      <c r="F371" s="11" t="s">
        <v>3616</v>
      </c>
      <c r="G371" s="11" t="s">
        <v>3617</v>
      </c>
      <c r="H371" s="8" t="s">
        <v>2220</v>
      </c>
      <c r="I371" s="11" t="s">
        <v>3618</v>
      </c>
    </row>
    <row r="372" customFormat="false" ht="35.05" hidden="false" customHeight="false" outlineLevel="0" collapsed="false">
      <c r="A372" s="8" t="n">
        <v>177</v>
      </c>
      <c r="B372" s="15" t="n">
        <v>46390</v>
      </c>
      <c r="C372" s="8" t="s">
        <v>1953</v>
      </c>
      <c r="D372" s="8" t="n">
        <v>5</v>
      </c>
      <c r="E372" s="8" t="s">
        <v>3619</v>
      </c>
      <c r="F372" s="11" t="s">
        <v>3620</v>
      </c>
      <c r="G372" s="11" t="s">
        <v>3621</v>
      </c>
      <c r="H372" s="8" t="s">
        <v>2220</v>
      </c>
      <c r="I372" s="11" t="s">
        <v>3622</v>
      </c>
    </row>
    <row r="373" customFormat="false" ht="23.85" hidden="false" customHeight="false" outlineLevel="0" collapsed="false">
      <c r="A373" s="8" t="n">
        <v>177</v>
      </c>
      <c r="B373" s="15" t="n">
        <v>46390</v>
      </c>
      <c r="C373" s="8" t="s">
        <v>1953</v>
      </c>
      <c r="D373" s="8" t="n">
        <v>6</v>
      </c>
      <c r="E373" s="8" t="s">
        <v>2235</v>
      </c>
      <c r="F373" s="11" t="s">
        <v>3623</v>
      </c>
      <c r="G373" s="11" t="s">
        <v>3624</v>
      </c>
      <c r="H373" s="8" t="s">
        <v>2220</v>
      </c>
      <c r="I373" s="11" t="s">
        <v>3625</v>
      </c>
    </row>
    <row r="374" customFormat="false" ht="23.85" hidden="false" customHeight="false" outlineLevel="0" collapsed="false">
      <c r="A374" s="8" t="n">
        <v>179</v>
      </c>
      <c r="B374" s="15" t="n">
        <v>46391</v>
      </c>
      <c r="C374" s="8" t="s">
        <v>1977</v>
      </c>
      <c r="D374" s="8" t="n">
        <v>1</v>
      </c>
      <c r="E374" s="8" t="s">
        <v>3626</v>
      </c>
      <c r="F374" s="11" t="s">
        <v>1979</v>
      </c>
      <c r="G374" s="11" t="s">
        <v>3627</v>
      </c>
      <c r="H374" s="8" t="s">
        <v>3628</v>
      </c>
      <c r="I374" s="11" t="s">
        <v>3629</v>
      </c>
    </row>
    <row r="375" customFormat="false" ht="35.05" hidden="false" customHeight="false" outlineLevel="0" collapsed="false">
      <c r="A375" s="8" t="n">
        <v>179</v>
      </c>
      <c r="B375" s="15" t="n">
        <v>46391</v>
      </c>
      <c r="C375" s="8" t="s">
        <v>1977</v>
      </c>
      <c r="D375" s="8" t="n">
        <v>2</v>
      </c>
      <c r="E375" s="8" t="s">
        <v>3630</v>
      </c>
      <c r="F375" s="11" t="s">
        <v>3631</v>
      </c>
      <c r="G375" s="11" t="s">
        <v>3632</v>
      </c>
      <c r="H375" s="8" t="s">
        <v>2220</v>
      </c>
      <c r="I375" s="11" t="s">
        <v>3633</v>
      </c>
    </row>
    <row r="376" customFormat="false" ht="23.85" hidden="false" customHeight="false" outlineLevel="0" collapsed="false">
      <c r="A376" s="8" t="n">
        <v>179</v>
      </c>
      <c r="B376" s="15" t="n">
        <v>46391</v>
      </c>
      <c r="C376" s="8" t="s">
        <v>1977</v>
      </c>
      <c r="D376" s="8" t="n">
        <v>3</v>
      </c>
      <c r="E376" s="8" t="s">
        <v>3634</v>
      </c>
      <c r="F376" s="11" t="s">
        <v>3635</v>
      </c>
      <c r="G376" s="11" t="s">
        <v>3636</v>
      </c>
      <c r="H376" s="8" t="s">
        <v>3637</v>
      </c>
      <c r="I376" s="11" t="s">
        <v>3638</v>
      </c>
    </row>
    <row r="377" customFormat="false" ht="46.25" hidden="false" customHeight="false" outlineLevel="0" collapsed="false">
      <c r="A377" s="8" t="n">
        <v>179</v>
      </c>
      <c r="B377" s="15" t="n">
        <v>46391</v>
      </c>
      <c r="C377" s="8" t="s">
        <v>1977</v>
      </c>
      <c r="D377" s="8" t="n">
        <v>4</v>
      </c>
      <c r="E377" s="8" t="s">
        <v>3639</v>
      </c>
      <c r="F377" s="11" t="s">
        <v>3640</v>
      </c>
      <c r="G377" s="11" t="s">
        <v>3641</v>
      </c>
      <c r="H377" s="8" t="s">
        <v>2220</v>
      </c>
      <c r="I377" s="11" t="s">
        <v>3642</v>
      </c>
    </row>
    <row r="378" customFormat="false" ht="35.05" hidden="false" customHeight="false" outlineLevel="0" collapsed="false">
      <c r="A378" s="8" t="n">
        <v>179</v>
      </c>
      <c r="B378" s="15" t="n">
        <v>46391</v>
      </c>
      <c r="C378" s="8" t="s">
        <v>1977</v>
      </c>
      <c r="D378" s="8" t="n">
        <v>5</v>
      </c>
      <c r="E378" s="8" t="s">
        <v>3643</v>
      </c>
      <c r="F378" s="11" t="s">
        <v>3644</v>
      </c>
      <c r="G378" s="11" t="s">
        <v>3645</v>
      </c>
      <c r="H378" s="8" t="s">
        <v>2220</v>
      </c>
      <c r="I378" s="11" t="s">
        <v>3646</v>
      </c>
    </row>
    <row r="379" customFormat="false" ht="23.85" hidden="false" customHeight="false" outlineLevel="0" collapsed="false">
      <c r="A379" s="8" t="n">
        <v>179</v>
      </c>
      <c r="B379" s="15" t="n">
        <v>46391</v>
      </c>
      <c r="C379" s="8" t="s">
        <v>1977</v>
      </c>
      <c r="D379" s="8" t="n">
        <v>6</v>
      </c>
      <c r="E379" s="8" t="s">
        <v>2235</v>
      </c>
      <c r="F379" s="11" t="s">
        <v>3647</v>
      </c>
      <c r="G379" s="11" t="s">
        <v>3648</v>
      </c>
      <c r="H379" s="8" t="s">
        <v>2220</v>
      </c>
      <c r="I379" s="11" t="s">
        <v>3649</v>
      </c>
    </row>
    <row r="380" customFormat="false" ht="23.85" hidden="false" customHeight="false" outlineLevel="0" collapsed="false">
      <c r="A380" s="8" t="n">
        <v>181</v>
      </c>
      <c r="B380" s="15" t="n">
        <v>46392</v>
      </c>
      <c r="C380" s="8" t="s">
        <v>2000</v>
      </c>
      <c r="D380" s="8" t="n">
        <v>1</v>
      </c>
      <c r="E380" s="8" t="s">
        <v>3650</v>
      </c>
      <c r="F380" s="11" t="s">
        <v>2002</v>
      </c>
      <c r="G380" s="11" t="s">
        <v>3651</v>
      </c>
      <c r="H380" s="8" t="s">
        <v>2008</v>
      </c>
      <c r="I380" s="11" t="s">
        <v>3652</v>
      </c>
    </row>
    <row r="381" customFormat="false" ht="46.25" hidden="false" customHeight="false" outlineLevel="0" collapsed="false">
      <c r="A381" s="8" t="n">
        <v>181</v>
      </c>
      <c r="B381" s="15" t="n">
        <v>46392</v>
      </c>
      <c r="C381" s="8" t="s">
        <v>2000</v>
      </c>
      <c r="D381" s="8" t="n">
        <v>2</v>
      </c>
      <c r="E381" s="8" t="s">
        <v>3653</v>
      </c>
      <c r="F381" s="11" t="s">
        <v>3654</v>
      </c>
      <c r="G381" s="11" t="s">
        <v>3655</v>
      </c>
      <c r="H381" s="8" t="s">
        <v>2220</v>
      </c>
      <c r="I381" s="11" t="s">
        <v>3656</v>
      </c>
    </row>
    <row r="382" customFormat="false" ht="23.85" hidden="false" customHeight="false" outlineLevel="0" collapsed="false">
      <c r="A382" s="8" t="n">
        <v>181</v>
      </c>
      <c r="B382" s="15" t="n">
        <v>46392</v>
      </c>
      <c r="C382" s="8" t="s">
        <v>2000</v>
      </c>
      <c r="D382" s="8" t="n">
        <v>3</v>
      </c>
      <c r="E382" s="8" t="s">
        <v>3657</v>
      </c>
      <c r="F382" s="11" t="s">
        <v>3658</v>
      </c>
      <c r="G382" s="11" t="s">
        <v>3659</v>
      </c>
      <c r="H382" s="8" t="s">
        <v>2008</v>
      </c>
      <c r="I382" s="11" t="s">
        <v>3660</v>
      </c>
    </row>
    <row r="383" customFormat="false" ht="23.85" hidden="false" customHeight="false" outlineLevel="0" collapsed="false">
      <c r="A383" s="8" t="n">
        <v>181</v>
      </c>
      <c r="B383" s="15" t="n">
        <v>46392</v>
      </c>
      <c r="C383" s="8" t="s">
        <v>2000</v>
      </c>
      <c r="D383" s="8" t="n">
        <v>4</v>
      </c>
      <c r="E383" s="8" t="s">
        <v>3542</v>
      </c>
      <c r="F383" s="11" t="s">
        <v>3661</v>
      </c>
      <c r="G383" s="11" t="s">
        <v>3662</v>
      </c>
      <c r="H383" s="8" t="s">
        <v>2220</v>
      </c>
      <c r="I383" s="11" t="s">
        <v>3663</v>
      </c>
    </row>
    <row r="384" customFormat="false" ht="46.25" hidden="false" customHeight="false" outlineLevel="0" collapsed="false">
      <c r="A384" s="8" t="n">
        <v>181</v>
      </c>
      <c r="B384" s="15" t="n">
        <v>46392</v>
      </c>
      <c r="C384" s="8" t="s">
        <v>2000</v>
      </c>
      <c r="D384" s="8" t="n">
        <v>5</v>
      </c>
      <c r="E384" s="8" t="s">
        <v>3075</v>
      </c>
      <c r="F384" s="11" t="s">
        <v>2826</v>
      </c>
      <c r="G384" s="11" t="s">
        <v>3664</v>
      </c>
      <c r="H384" s="8" t="s">
        <v>2220</v>
      </c>
      <c r="I384" s="11" t="s">
        <v>3665</v>
      </c>
    </row>
    <row r="385" customFormat="false" ht="23.85" hidden="false" customHeight="false" outlineLevel="0" collapsed="false">
      <c r="A385" s="8" t="n">
        <v>181</v>
      </c>
      <c r="B385" s="15" t="n">
        <v>46392</v>
      </c>
      <c r="C385" s="8" t="s">
        <v>2000</v>
      </c>
      <c r="D385" s="8" t="n">
        <v>6</v>
      </c>
      <c r="E385" s="8" t="s">
        <v>2235</v>
      </c>
      <c r="F385" s="11" t="s">
        <v>3666</v>
      </c>
      <c r="G385" s="11" t="s">
        <v>3667</v>
      </c>
      <c r="H385" s="8" t="s">
        <v>2220</v>
      </c>
      <c r="I385" s="11" t="s">
        <v>3668</v>
      </c>
    </row>
    <row r="386" customFormat="false" ht="23.85" hidden="false" customHeight="false" outlineLevel="0" collapsed="false">
      <c r="A386" s="8" t="n">
        <v>183</v>
      </c>
      <c r="B386" s="15" t="n">
        <v>46393</v>
      </c>
      <c r="C386" s="8" t="s">
        <v>2020</v>
      </c>
      <c r="D386" s="8" t="n">
        <v>1</v>
      </c>
      <c r="E386" s="8" t="s">
        <v>3669</v>
      </c>
      <c r="F386" s="11" t="s">
        <v>2022</v>
      </c>
      <c r="G386" s="11" t="s">
        <v>3670</v>
      </c>
      <c r="H386" s="8" t="s">
        <v>3671</v>
      </c>
      <c r="I386" s="11" t="s">
        <v>3672</v>
      </c>
    </row>
    <row r="387" customFormat="false" ht="23.85" hidden="false" customHeight="false" outlineLevel="0" collapsed="false">
      <c r="A387" s="8" t="n">
        <v>183</v>
      </c>
      <c r="B387" s="15" t="n">
        <v>46393</v>
      </c>
      <c r="C387" s="8" t="s">
        <v>2020</v>
      </c>
      <c r="D387" s="8" t="n">
        <v>2</v>
      </c>
      <c r="E387" s="8" t="s">
        <v>3673</v>
      </c>
      <c r="F387" s="11" t="s">
        <v>3674</v>
      </c>
      <c r="G387" s="11" t="s">
        <v>3675</v>
      </c>
      <c r="H387" s="8" t="s">
        <v>2220</v>
      </c>
      <c r="I387" s="11" t="s">
        <v>3676</v>
      </c>
    </row>
    <row r="388" customFormat="false" ht="23.85" hidden="false" customHeight="false" outlineLevel="0" collapsed="false">
      <c r="A388" s="8" t="n">
        <v>183</v>
      </c>
      <c r="B388" s="15" t="n">
        <v>46393</v>
      </c>
      <c r="C388" s="8" t="s">
        <v>2020</v>
      </c>
      <c r="D388" s="8" t="n">
        <v>3</v>
      </c>
      <c r="E388" s="8" t="s">
        <v>3677</v>
      </c>
      <c r="F388" s="11" t="s">
        <v>3678</v>
      </c>
      <c r="G388" s="11" t="s">
        <v>3679</v>
      </c>
      <c r="H388" s="8" t="s">
        <v>2220</v>
      </c>
      <c r="I388" s="11" t="s">
        <v>3680</v>
      </c>
    </row>
    <row r="389" customFormat="false" ht="23.85" hidden="false" customHeight="false" outlineLevel="0" collapsed="false">
      <c r="A389" s="8" t="n">
        <v>183</v>
      </c>
      <c r="B389" s="15" t="n">
        <v>46393</v>
      </c>
      <c r="C389" s="8" t="s">
        <v>2020</v>
      </c>
      <c r="D389" s="8" t="n">
        <v>4</v>
      </c>
      <c r="E389" s="8" t="s">
        <v>3681</v>
      </c>
      <c r="F389" s="11" t="s">
        <v>3682</v>
      </c>
      <c r="G389" s="11" t="s">
        <v>3683</v>
      </c>
      <c r="H389" s="8" t="s">
        <v>3684</v>
      </c>
      <c r="I389" s="11" t="s">
        <v>3685</v>
      </c>
    </row>
    <row r="390" customFormat="false" ht="46.25" hidden="false" customHeight="false" outlineLevel="0" collapsed="false">
      <c r="A390" s="8" t="n">
        <v>183</v>
      </c>
      <c r="B390" s="15" t="n">
        <v>46393</v>
      </c>
      <c r="C390" s="8" t="s">
        <v>2020</v>
      </c>
      <c r="D390" s="8" t="n">
        <v>5</v>
      </c>
      <c r="E390" s="8" t="s">
        <v>3686</v>
      </c>
      <c r="F390" s="11" t="s">
        <v>3687</v>
      </c>
      <c r="G390" s="11" t="s">
        <v>3688</v>
      </c>
      <c r="H390" s="8" t="s">
        <v>2220</v>
      </c>
      <c r="I390" s="11" t="s">
        <v>3689</v>
      </c>
    </row>
    <row r="391" customFormat="false" ht="23.85" hidden="false" customHeight="false" outlineLevel="0" collapsed="false">
      <c r="A391" s="8" t="n">
        <v>183</v>
      </c>
      <c r="B391" s="15" t="n">
        <v>46393</v>
      </c>
      <c r="C391" s="8" t="s">
        <v>2020</v>
      </c>
      <c r="D391" s="8" t="n">
        <v>6</v>
      </c>
      <c r="E391" s="8" t="s">
        <v>3690</v>
      </c>
      <c r="F391" s="11" t="s">
        <v>3691</v>
      </c>
      <c r="G391" s="11" t="s">
        <v>3692</v>
      </c>
      <c r="H391" s="8" t="s">
        <v>2220</v>
      </c>
      <c r="I391" s="11" t="s">
        <v>3693</v>
      </c>
    </row>
    <row r="392" customFormat="false" ht="23.85" hidden="false" customHeight="false" outlineLevel="0" collapsed="false">
      <c r="A392" s="8" t="n">
        <v>187</v>
      </c>
      <c r="B392" s="15" t="n">
        <v>46395</v>
      </c>
      <c r="C392" s="8" t="s">
        <v>2064</v>
      </c>
      <c r="D392" s="8" t="n">
        <v>1</v>
      </c>
      <c r="E392" s="8" t="s">
        <v>3694</v>
      </c>
      <c r="F392" s="11" t="s">
        <v>2066</v>
      </c>
      <c r="G392" s="11" t="s">
        <v>3695</v>
      </c>
      <c r="H392" s="8" t="s">
        <v>3696</v>
      </c>
      <c r="I392" s="11" t="s">
        <v>3697</v>
      </c>
    </row>
    <row r="393" customFormat="false" ht="35.05" hidden="false" customHeight="false" outlineLevel="0" collapsed="false">
      <c r="A393" s="8" t="n">
        <v>187</v>
      </c>
      <c r="B393" s="15" t="n">
        <v>46395</v>
      </c>
      <c r="C393" s="8" t="s">
        <v>2064</v>
      </c>
      <c r="D393" s="8" t="n">
        <v>2</v>
      </c>
      <c r="E393" s="8" t="s">
        <v>3698</v>
      </c>
      <c r="F393" s="11" t="s">
        <v>3699</v>
      </c>
      <c r="G393" s="11" t="s">
        <v>3700</v>
      </c>
      <c r="H393" s="8" t="s">
        <v>2220</v>
      </c>
      <c r="I393" s="11" t="s">
        <v>3701</v>
      </c>
    </row>
    <row r="394" customFormat="false" ht="23.85" hidden="false" customHeight="false" outlineLevel="0" collapsed="false">
      <c r="A394" s="8" t="n">
        <v>187</v>
      </c>
      <c r="B394" s="15" t="n">
        <v>46395</v>
      </c>
      <c r="C394" s="8" t="s">
        <v>2064</v>
      </c>
      <c r="D394" s="8" t="n">
        <v>3</v>
      </c>
      <c r="E394" s="8" t="s">
        <v>3702</v>
      </c>
      <c r="F394" s="11" t="s">
        <v>3703</v>
      </c>
      <c r="G394" s="11" t="s">
        <v>3704</v>
      </c>
      <c r="H394" s="8" t="s">
        <v>2220</v>
      </c>
      <c r="I394" s="11" t="s">
        <v>3705</v>
      </c>
    </row>
    <row r="395" customFormat="false" ht="23.85" hidden="false" customHeight="false" outlineLevel="0" collapsed="false">
      <c r="A395" s="8" t="n">
        <v>187</v>
      </c>
      <c r="B395" s="15" t="n">
        <v>46395</v>
      </c>
      <c r="C395" s="8" t="s">
        <v>2064</v>
      </c>
      <c r="D395" s="8" t="n">
        <v>4</v>
      </c>
      <c r="E395" s="8" t="s">
        <v>3706</v>
      </c>
      <c r="F395" s="11" t="s">
        <v>3707</v>
      </c>
      <c r="G395" s="11" t="s">
        <v>3708</v>
      </c>
      <c r="H395" s="8" t="s">
        <v>3709</v>
      </c>
      <c r="I395" s="11" t="s">
        <v>3710</v>
      </c>
    </row>
    <row r="396" customFormat="false" ht="46.25" hidden="false" customHeight="false" outlineLevel="0" collapsed="false">
      <c r="A396" s="8" t="n">
        <v>187</v>
      </c>
      <c r="B396" s="15" t="n">
        <v>46395</v>
      </c>
      <c r="C396" s="8" t="s">
        <v>2064</v>
      </c>
      <c r="D396" s="8" t="n">
        <v>5</v>
      </c>
      <c r="E396" s="8" t="s">
        <v>2302</v>
      </c>
      <c r="F396" s="11" t="s">
        <v>3711</v>
      </c>
      <c r="G396" s="11" t="s">
        <v>3712</v>
      </c>
      <c r="H396" s="8" t="s">
        <v>2220</v>
      </c>
      <c r="I396" s="11" t="s">
        <v>3713</v>
      </c>
    </row>
    <row r="397" customFormat="false" ht="23.85" hidden="false" customHeight="false" outlineLevel="0" collapsed="false">
      <c r="A397" s="8" t="n">
        <v>187</v>
      </c>
      <c r="B397" s="15" t="n">
        <v>46395</v>
      </c>
      <c r="C397" s="8" t="s">
        <v>2064</v>
      </c>
      <c r="D397" s="8" t="n">
        <v>6</v>
      </c>
      <c r="E397" s="8" t="s">
        <v>3282</v>
      </c>
      <c r="F397" s="11" t="s">
        <v>3714</v>
      </c>
      <c r="G397" s="11" t="s">
        <v>3715</v>
      </c>
      <c r="H397" s="8" t="s">
        <v>2220</v>
      </c>
      <c r="I397" s="11" t="s">
        <v>3716</v>
      </c>
    </row>
    <row r="398" customFormat="false" ht="23.85" hidden="false" customHeight="false" outlineLevel="0" collapsed="false">
      <c r="A398" s="8" t="n">
        <v>189</v>
      </c>
      <c r="B398" s="15" t="n">
        <v>46396</v>
      </c>
      <c r="C398" s="8" t="s">
        <v>2084</v>
      </c>
      <c r="D398" s="8" t="n">
        <v>1</v>
      </c>
      <c r="E398" s="8" t="s">
        <v>3717</v>
      </c>
      <c r="F398" s="11" t="s">
        <v>2086</v>
      </c>
      <c r="G398" s="11" t="s">
        <v>3718</v>
      </c>
      <c r="H398" s="8" t="s">
        <v>3719</v>
      </c>
      <c r="I398" s="11" t="s">
        <v>3720</v>
      </c>
    </row>
    <row r="399" customFormat="false" ht="46.25" hidden="false" customHeight="false" outlineLevel="0" collapsed="false">
      <c r="A399" s="8" t="n">
        <v>189</v>
      </c>
      <c r="B399" s="15" t="n">
        <v>46396</v>
      </c>
      <c r="C399" s="8" t="s">
        <v>2084</v>
      </c>
      <c r="D399" s="8" t="n">
        <v>2</v>
      </c>
      <c r="E399" s="8" t="s">
        <v>34</v>
      </c>
      <c r="F399" s="11" t="s">
        <v>3721</v>
      </c>
      <c r="G399" s="11" t="s">
        <v>3722</v>
      </c>
      <c r="H399" s="8" t="s">
        <v>2220</v>
      </c>
      <c r="I399" s="11" t="s">
        <v>3723</v>
      </c>
    </row>
    <row r="400" customFormat="false" ht="23.85" hidden="false" customHeight="false" outlineLevel="0" collapsed="false">
      <c r="A400" s="8" t="n">
        <v>189</v>
      </c>
      <c r="B400" s="15" t="n">
        <v>46396</v>
      </c>
      <c r="C400" s="8" t="s">
        <v>2084</v>
      </c>
      <c r="D400" s="8" t="n">
        <v>3</v>
      </c>
      <c r="E400" s="8" t="s">
        <v>3724</v>
      </c>
      <c r="F400" s="11" t="s">
        <v>3725</v>
      </c>
      <c r="G400" s="11" t="s">
        <v>3726</v>
      </c>
      <c r="H400" s="8" t="s">
        <v>2220</v>
      </c>
      <c r="I400" s="11" t="s">
        <v>3727</v>
      </c>
    </row>
    <row r="401" customFormat="false" ht="23.85" hidden="false" customHeight="false" outlineLevel="0" collapsed="false">
      <c r="A401" s="8" t="n">
        <v>189</v>
      </c>
      <c r="B401" s="15" t="n">
        <v>46396</v>
      </c>
      <c r="C401" s="8" t="s">
        <v>2084</v>
      </c>
      <c r="D401" s="8" t="n">
        <v>4</v>
      </c>
      <c r="E401" s="8" t="s">
        <v>3728</v>
      </c>
      <c r="F401" s="11" t="s">
        <v>3729</v>
      </c>
      <c r="G401" s="11" t="s">
        <v>3730</v>
      </c>
      <c r="H401" s="8" t="s">
        <v>3731</v>
      </c>
      <c r="I401" s="11" t="s">
        <v>3732</v>
      </c>
    </row>
    <row r="402" customFormat="false" ht="46.25" hidden="false" customHeight="false" outlineLevel="0" collapsed="false">
      <c r="A402" s="8" t="n">
        <v>189</v>
      </c>
      <c r="B402" s="15" t="n">
        <v>46396</v>
      </c>
      <c r="C402" s="8" t="s">
        <v>2084</v>
      </c>
      <c r="D402" s="8" t="n">
        <v>5</v>
      </c>
      <c r="E402" s="8" t="s">
        <v>2302</v>
      </c>
      <c r="F402" s="11" t="s">
        <v>3733</v>
      </c>
      <c r="G402" s="11" t="s">
        <v>3734</v>
      </c>
      <c r="H402" s="8" t="s">
        <v>2220</v>
      </c>
      <c r="I402" s="11" t="s">
        <v>3735</v>
      </c>
    </row>
    <row r="403" customFormat="false" ht="23.85" hidden="false" customHeight="false" outlineLevel="0" collapsed="false">
      <c r="A403" s="8" t="n">
        <v>189</v>
      </c>
      <c r="B403" s="15" t="n">
        <v>46396</v>
      </c>
      <c r="C403" s="8" t="s">
        <v>2084</v>
      </c>
      <c r="D403" s="8" t="n">
        <v>6</v>
      </c>
      <c r="E403" s="8" t="s">
        <v>3348</v>
      </c>
      <c r="F403" s="11" t="s">
        <v>3736</v>
      </c>
      <c r="G403" s="11" t="s">
        <v>3737</v>
      </c>
      <c r="H403" s="8" t="s">
        <v>2220</v>
      </c>
      <c r="I403" s="11" t="s">
        <v>3738</v>
      </c>
    </row>
    <row r="404" customFormat="false" ht="23.85" hidden="false" customHeight="false" outlineLevel="0" collapsed="false">
      <c r="A404" s="8" t="n">
        <v>193</v>
      </c>
      <c r="B404" s="15" t="n">
        <v>46398</v>
      </c>
      <c r="C404" s="8" t="s">
        <v>2126</v>
      </c>
      <c r="D404" s="8" t="n">
        <v>1</v>
      </c>
      <c r="E404" s="8" t="s">
        <v>3739</v>
      </c>
      <c r="F404" s="11" t="s">
        <v>2128</v>
      </c>
      <c r="G404" s="11" t="s">
        <v>3740</v>
      </c>
      <c r="H404" s="8" t="s">
        <v>3741</v>
      </c>
      <c r="I404" s="11" t="s">
        <v>3742</v>
      </c>
    </row>
    <row r="405" customFormat="false" ht="46.25" hidden="false" customHeight="false" outlineLevel="0" collapsed="false">
      <c r="A405" s="8" t="n">
        <v>193</v>
      </c>
      <c r="B405" s="15" t="n">
        <v>46398</v>
      </c>
      <c r="C405" s="8" t="s">
        <v>2126</v>
      </c>
      <c r="D405" s="8" t="n">
        <v>2</v>
      </c>
      <c r="E405" s="8" t="s">
        <v>3743</v>
      </c>
      <c r="F405" s="11" t="s">
        <v>3744</v>
      </c>
      <c r="G405" s="11" t="s">
        <v>3745</v>
      </c>
      <c r="H405" s="8" t="s">
        <v>2220</v>
      </c>
      <c r="I405" s="11" t="s">
        <v>3746</v>
      </c>
    </row>
    <row r="406" customFormat="false" ht="23.85" hidden="false" customHeight="false" outlineLevel="0" collapsed="false">
      <c r="A406" s="8" t="n">
        <v>193</v>
      </c>
      <c r="B406" s="15" t="n">
        <v>46398</v>
      </c>
      <c r="C406" s="8" t="s">
        <v>2126</v>
      </c>
      <c r="D406" s="8" t="n">
        <v>3</v>
      </c>
      <c r="E406" s="8" t="s">
        <v>3747</v>
      </c>
      <c r="F406" s="11" t="s">
        <v>3748</v>
      </c>
      <c r="G406" s="11" t="s">
        <v>3749</v>
      </c>
      <c r="H406" s="8" t="s">
        <v>3741</v>
      </c>
      <c r="I406" s="11" t="s">
        <v>3750</v>
      </c>
    </row>
    <row r="407" customFormat="false" ht="46.25" hidden="false" customHeight="false" outlineLevel="0" collapsed="false">
      <c r="A407" s="8" t="n">
        <v>193</v>
      </c>
      <c r="B407" s="15" t="n">
        <v>46398</v>
      </c>
      <c r="C407" s="8" t="s">
        <v>2126</v>
      </c>
      <c r="D407" s="8" t="n">
        <v>4</v>
      </c>
      <c r="E407" s="8" t="s">
        <v>3751</v>
      </c>
      <c r="F407" s="11" t="s">
        <v>3752</v>
      </c>
      <c r="G407" s="11" t="s">
        <v>3753</v>
      </c>
      <c r="H407" s="8" t="s">
        <v>2220</v>
      </c>
      <c r="I407" s="11" t="s">
        <v>3754</v>
      </c>
    </row>
    <row r="408" customFormat="false" ht="23.85" hidden="false" customHeight="false" outlineLevel="0" collapsed="false">
      <c r="A408" s="8" t="n">
        <v>193</v>
      </c>
      <c r="B408" s="15" t="n">
        <v>46398</v>
      </c>
      <c r="C408" s="8" t="s">
        <v>2126</v>
      </c>
      <c r="D408" s="8" t="n">
        <v>5</v>
      </c>
      <c r="E408" s="8" t="s">
        <v>3755</v>
      </c>
      <c r="F408" s="11" t="s">
        <v>3756</v>
      </c>
      <c r="G408" s="11" t="s">
        <v>3757</v>
      </c>
      <c r="H408" s="8" t="s">
        <v>3758</v>
      </c>
      <c r="I408" s="11" t="s">
        <v>3759</v>
      </c>
    </row>
    <row r="409" customFormat="false" ht="23.85" hidden="false" customHeight="false" outlineLevel="0" collapsed="false">
      <c r="A409" s="8" t="n">
        <v>193</v>
      </c>
      <c r="B409" s="15" t="n">
        <v>46398</v>
      </c>
      <c r="C409" s="8" t="s">
        <v>2126</v>
      </c>
      <c r="D409" s="8" t="n">
        <v>6</v>
      </c>
      <c r="E409" s="8" t="s">
        <v>2235</v>
      </c>
      <c r="F409" s="11" t="s">
        <v>3760</v>
      </c>
      <c r="G409" s="11" t="s">
        <v>3761</v>
      </c>
      <c r="H409" s="8" t="s">
        <v>2220</v>
      </c>
      <c r="I409" s="11" t="s">
        <v>3762</v>
      </c>
    </row>
    <row r="410" customFormat="false" ht="23.85" hidden="false" customHeight="false" outlineLevel="0" collapsed="false">
      <c r="A410" s="8" t="n">
        <v>195</v>
      </c>
      <c r="B410" s="15" t="n">
        <v>46399</v>
      </c>
      <c r="C410" s="8" t="s">
        <v>2148</v>
      </c>
      <c r="D410" s="8" t="n">
        <v>1</v>
      </c>
      <c r="E410" s="8" t="s">
        <v>3763</v>
      </c>
      <c r="F410" s="11" t="s">
        <v>2150</v>
      </c>
      <c r="G410" s="11" t="s">
        <v>3764</v>
      </c>
      <c r="H410" s="8" t="s">
        <v>3765</v>
      </c>
      <c r="I410" s="11" t="s">
        <v>3766</v>
      </c>
    </row>
    <row r="411" customFormat="false" ht="23.85" hidden="false" customHeight="false" outlineLevel="0" collapsed="false">
      <c r="A411" s="8" t="n">
        <v>195</v>
      </c>
      <c r="B411" s="15" t="n">
        <v>46399</v>
      </c>
      <c r="C411" s="8" t="s">
        <v>2148</v>
      </c>
      <c r="D411" s="8" t="n">
        <v>2</v>
      </c>
      <c r="E411" s="8" t="s">
        <v>2996</v>
      </c>
      <c r="F411" s="11" t="s">
        <v>3767</v>
      </c>
      <c r="G411" s="11" t="s">
        <v>3768</v>
      </c>
      <c r="H411" s="8" t="s">
        <v>2220</v>
      </c>
      <c r="I411" s="11" t="s">
        <v>3769</v>
      </c>
    </row>
    <row r="412" customFormat="false" ht="23.85" hidden="false" customHeight="false" outlineLevel="0" collapsed="false">
      <c r="A412" s="8" t="n">
        <v>195</v>
      </c>
      <c r="B412" s="15" t="n">
        <v>46399</v>
      </c>
      <c r="C412" s="8" t="s">
        <v>2148</v>
      </c>
      <c r="D412" s="8" t="n">
        <v>3</v>
      </c>
      <c r="E412" s="8" t="s">
        <v>3770</v>
      </c>
      <c r="F412" s="11" t="s">
        <v>3771</v>
      </c>
      <c r="G412" s="11" t="s">
        <v>3772</v>
      </c>
      <c r="H412" s="8" t="s">
        <v>2220</v>
      </c>
      <c r="I412" s="11" t="s">
        <v>3773</v>
      </c>
    </row>
    <row r="413" customFormat="false" ht="23.85" hidden="false" customHeight="false" outlineLevel="0" collapsed="false">
      <c r="A413" s="8" t="n">
        <v>195</v>
      </c>
      <c r="B413" s="15" t="n">
        <v>46399</v>
      </c>
      <c r="C413" s="8" t="s">
        <v>2148</v>
      </c>
      <c r="D413" s="8" t="n">
        <v>4</v>
      </c>
      <c r="E413" s="8" t="s">
        <v>3774</v>
      </c>
      <c r="F413" s="11" t="s">
        <v>3775</v>
      </c>
      <c r="G413" s="11" t="s">
        <v>3776</v>
      </c>
      <c r="H413" s="8" t="s">
        <v>3777</v>
      </c>
      <c r="I413" s="11" t="s">
        <v>3778</v>
      </c>
    </row>
    <row r="414" customFormat="false" ht="46.25" hidden="false" customHeight="false" outlineLevel="0" collapsed="false">
      <c r="A414" s="8" t="n">
        <v>195</v>
      </c>
      <c r="B414" s="15" t="n">
        <v>46399</v>
      </c>
      <c r="C414" s="8" t="s">
        <v>2148</v>
      </c>
      <c r="D414" s="8" t="n">
        <v>5</v>
      </c>
      <c r="E414" s="8" t="s">
        <v>3779</v>
      </c>
      <c r="F414" s="11" t="s">
        <v>3780</v>
      </c>
      <c r="G414" s="11" t="s">
        <v>3781</v>
      </c>
      <c r="H414" s="8" t="s">
        <v>2220</v>
      </c>
      <c r="I414" s="11" t="s">
        <v>3782</v>
      </c>
    </row>
    <row r="415" customFormat="false" ht="23.85" hidden="false" customHeight="false" outlineLevel="0" collapsed="false">
      <c r="A415" s="8" t="n">
        <v>195</v>
      </c>
      <c r="B415" s="15" t="n">
        <v>46399</v>
      </c>
      <c r="C415" s="8" t="s">
        <v>2148</v>
      </c>
      <c r="D415" s="8" t="n">
        <v>6</v>
      </c>
      <c r="E415" s="8" t="s">
        <v>3783</v>
      </c>
      <c r="F415" s="11" t="s">
        <v>3784</v>
      </c>
      <c r="G415" s="11" t="s">
        <v>3785</v>
      </c>
      <c r="H415" s="8" t="s">
        <v>2220</v>
      </c>
      <c r="I415" s="11" t="s">
        <v>3786</v>
      </c>
    </row>
  </sheetData>
  <autoFilter ref="A1:I4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8"/>
    <col collapsed="false" customWidth="true" hidden="false" outlineLevel="0" max="4" min="4" style="0" width="7"/>
    <col collapsed="false" customWidth="true" hidden="false" outlineLevel="0" max="5" min="5" style="0" width="40"/>
    <col collapsed="false" customWidth="true" hidden="false" outlineLevel="0" max="6" min="6" style="0" width="50"/>
    <col collapsed="false" customWidth="true" hidden="false" outlineLevel="0" max="7" min="7" style="0" width="10"/>
    <col collapsed="false" customWidth="true" hidden="false" outlineLevel="0" max="8" min="8" style="0" width="50"/>
  </cols>
  <sheetData>
    <row r="1" customFormat="false" ht="30" hidden="false" customHeight="true" outlineLevel="0" collapsed="false">
      <c r="A1" s="7" t="s">
        <v>29</v>
      </c>
      <c r="B1" s="7" t="s">
        <v>30</v>
      </c>
      <c r="C1" s="7" t="s">
        <v>36</v>
      </c>
      <c r="D1" s="7" t="s">
        <v>3787</v>
      </c>
      <c r="E1" s="7" t="s">
        <v>3788</v>
      </c>
      <c r="F1" s="7" t="s">
        <v>3789</v>
      </c>
      <c r="G1" s="7" t="s">
        <v>2211</v>
      </c>
      <c r="H1" s="7" t="s">
        <v>45</v>
      </c>
    </row>
    <row r="2" customFormat="false" ht="23.85" hidden="false" customHeight="false" outlineLevel="0" collapsed="false">
      <c r="A2" s="11" t="n">
        <v>5</v>
      </c>
      <c r="B2" s="16" t="n">
        <v>46304</v>
      </c>
      <c r="C2" s="11" t="s">
        <v>114</v>
      </c>
      <c r="D2" s="11" t="n">
        <v>1</v>
      </c>
      <c r="E2" s="11" t="s">
        <v>116</v>
      </c>
      <c r="F2" s="11" t="s">
        <v>3790</v>
      </c>
      <c r="G2" s="11" t="s">
        <v>3791</v>
      </c>
      <c r="H2" s="11" t="s">
        <v>123</v>
      </c>
    </row>
    <row r="3" customFormat="false" ht="15" hidden="false" customHeight="false" outlineLevel="0" collapsed="false">
      <c r="A3" s="11" t="n">
        <v>5</v>
      </c>
      <c r="B3" s="16" t="n">
        <v>46304</v>
      </c>
      <c r="C3" s="11" t="s">
        <v>114</v>
      </c>
      <c r="D3" s="11" t="n">
        <v>2</v>
      </c>
      <c r="E3" s="11" t="s">
        <v>3792</v>
      </c>
      <c r="F3" s="11" t="s">
        <v>3793</v>
      </c>
      <c r="G3" s="11" t="s">
        <v>3794</v>
      </c>
      <c r="H3" s="11"/>
    </row>
    <row r="4" customFormat="false" ht="15" hidden="false" customHeight="false" outlineLevel="0" collapsed="false">
      <c r="A4" s="11" t="n">
        <v>5</v>
      </c>
      <c r="B4" s="16" t="n">
        <v>46304</v>
      </c>
      <c r="C4" s="11" t="s">
        <v>114</v>
      </c>
      <c r="D4" s="11" t="n">
        <v>3</v>
      </c>
      <c r="E4" s="11" t="s">
        <v>3795</v>
      </c>
      <c r="F4" s="11" t="s">
        <v>3796</v>
      </c>
      <c r="G4" s="11" t="s">
        <v>3791</v>
      </c>
      <c r="H4" s="11"/>
    </row>
    <row r="5" customFormat="false" ht="15" hidden="false" customHeight="false" outlineLevel="0" collapsed="false">
      <c r="A5" s="11" t="n">
        <v>5</v>
      </c>
      <c r="B5" s="16" t="n">
        <v>46304</v>
      </c>
      <c r="C5" s="11" t="s">
        <v>114</v>
      </c>
      <c r="D5" s="11" t="n">
        <v>4</v>
      </c>
      <c r="E5" s="11" t="s">
        <v>3797</v>
      </c>
      <c r="F5" s="11" t="s">
        <v>3798</v>
      </c>
      <c r="G5" s="11" t="s">
        <v>3794</v>
      </c>
      <c r="H5" s="11"/>
    </row>
    <row r="6" customFormat="false" ht="23.85" hidden="false" customHeight="false" outlineLevel="0" collapsed="false">
      <c r="A6" s="11" t="n">
        <v>5</v>
      </c>
      <c r="B6" s="16" t="n">
        <v>46304</v>
      </c>
      <c r="C6" s="11" t="s">
        <v>114</v>
      </c>
      <c r="D6" s="11" t="n">
        <v>5</v>
      </c>
      <c r="E6" s="11" t="s">
        <v>3799</v>
      </c>
      <c r="F6" s="11" t="s">
        <v>3800</v>
      </c>
      <c r="G6" s="11" t="s">
        <v>3791</v>
      </c>
      <c r="H6" s="11"/>
    </row>
    <row r="7" customFormat="false" ht="23.85" hidden="false" customHeight="false" outlineLevel="0" collapsed="false">
      <c r="A7" s="11" t="n">
        <v>5</v>
      </c>
      <c r="B7" s="16" t="n">
        <v>46304</v>
      </c>
      <c r="C7" s="11" t="s">
        <v>114</v>
      </c>
      <c r="D7" s="11" t="n">
        <v>6</v>
      </c>
      <c r="E7" s="11" t="s">
        <v>3801</v>
      </c>
      <c r="F7" s="11" t="s">
        <v>3802</v>
      </c>
      <c r="G7" s="11" t="s">
        <v>3803</v>
      </c>
      <c r="H7" s="11"/>
    </row>
    <row r="8" customFormat="false" ht="23.85" hidden="false" customHeight="false" outlineLevel="0" collapsed="false">
      <c r="A8" s="11" t="n">
        <v>7</v>
      </c>
      <c r="B8" s="16" t="n">
        <v>46305</v>
      </c>
      <c r="C8" s="11" t="s">
        <v>89</v>
      </c>
      <c r="D8" s="11" t="n">
        <v>1</v>
      </c>
      <c r="E8" s="11" t="s">
        <v>142</v>
      </c>
      <c r="F8" s="11" t="s">
        <v>3804</v>
      </c>
      <c r="G8" s="11" t="s">
        <v>2215</v>
      </c>
      <c r="H8" s="11" t="s">
        <v>148</v>
      </c>
    </row>
    <row r="9" customFormat="false" ht="23.85" hidden="false" customHeight="false" outlineLevel="0" collapsed="false">
      <c r="A9" s="11" t="n">
        <v>7</v>
      </c>
      <c r="B9" s="16" t="n">
        <v>46305</v>
      </c>
      <c r="C9" s="11" t="s">
        <v>89</v>
      </c>
      <c r="D9" s="11" t="n">
        <v>2</v>
      </c>
      <c r="E9" s="11" t="s">
        <v>3805</v>
      </c>
      <c r="F9" s="11" t="s">
        <v>3806</v>
      </c>
      <c r="G9" s="11" t="s">
        <v>2225</v>
      </c>
      <c r="H9" s="11"/>
    </row>
    <row r="10" customFormat="false" ht="23.85" hidden="false" customHeight="false" outlineLevel="0" collapsed="false">
      <c r="A10" s="11" t="n">
        <v>7</v>
      </c>
      <c r="B10" s="16" t="n">
        <v>46305</v>
      </c>
      <c r="C10" s="11" t="s">
        <v>89</v>
      </c>
      <c r="D10" s="11" t="n">
        <v>3</v>
      </c>
      <c r="E10" s="11" t="s">
        <v>3807</v>
      </c>
      <c r="F10" s="11" t="s">
        <v>3808</v>
      </c>
      <c r="G10" s="11" t="s">
        <v>2215</v>
      </c>
      <c r="H10" s="11"/>
    </row>
    <row r="11" customFormat="false" ht="23.85" hidden="false" customHeight="false" outlineLevel="0" collapsed="false">
      <c r="A11" s="11" t="n">
        <v>7</v>
      </c>
      <c r="B11" s="16" t="n">
        <v>46305</v>
      </c>
      <c r="C11" s="11" t="s">
        <v>89</v>
      </c>
      <c r="D11" s="11" t="n">
        <v>4</v>
      </c>
      <c r="E11" s="11" t="s">
        <v>3809</v>
      </c>
      <c r="F11" s="11" t="s">
        <v>3810</v>
      </c>
      <c r="G11" s="11" t="s">
        <v>2225</v>
      </c>
      <c r="H11" s="11"/>
    </row>
    <row r="12" customFormat="false" ht="23.85" hidden="false" customHeight="false" outlineLevel="0" collapsed="false">
      <c r="A12" s="11" t="n">
        <v>7</v>
      </c>
      <c r="B12" s="16" t="n">
        <v>46305</v>
      </c>
      <c r="C12" s="11" t="s">
        <v>89</v>
      </c>
      <c r="D12" s="11" t="n">
        <v>5</v>
      </c>
      <c r="E12" s="11" t="s">
        <v>3811</v>
      </c>
      <c r="F12" s="11" t="s">
        <v>3812</v>
      </c>
      <c r="G12" s="11" t="s">
        <v>2215</v>
      </c>
      <c r="H12" s="11"/>
    </row>
    <row r="13" customFormat="false" ht="23.85" hidden="false" customHeight="false" outlineLevel="0" collapsed="false">
      <c r="A13" s="11" t="n">
        <v>7</v>
      </c>
      <c r="B13" s="16" t="n">
        <v>46305</v>
      </c>
      <c r="C13" s="11" t="s">
        <v>89</v>
      </c>
      <c r="D13" s="11" t="n">
        <v>6</v>
      </c>
      <c r="E13" s="11" t="s">
        <v>3813</v>
      </c>
      <c r="F13" s="11" t="s">
        <v>3814</v>
      </c>
      <c r="G13" s="11" t="s">
        <v>3803</v>
      </c>
      <c r="H13" s="11"/>
    </row>
    <row r="14" customFormat="false" ht="23.85" hidden="false" customHeight="false" outlineLevel="0" collapsed="false">
      <c r="A14" s="11" t="n">
        <v>21</v>
      </c>
      <c r="B14" s="16" t="n">
        <v>46312</v>
      </c>
      <c r="C14" s="11" t="s">
        <v>300</v>
      </c>
      <c r="D14" s="11" t="n">
        <v>1</v>
      </c>
      <c r="E14" s="11" t="s">
        <v>302</v>
      </c>
      <c r="F14" s="11" t="s">
        <v>3815</v>
      </c>
      <c r="G14" s="11" t="s">
        <v>3816</v>
      </c>
      <c r="H14" s="11" t="s">
        <v>307</v>
      </c>
    </row>
    <row r="15" customFormat="false" ht="15" hidden="false" customHeight="false" outlineLevel="0" collapsed="false">
      <c r="A15" s="11" t="n">
        <v>21</v>
      </c>
      <c r="B15" s="16" t="n">
        <v>46312</v>
      </c>
      <c r="C15" s="11" t="s">
        <v>300</v>
      </c>
      <c r="D15" s="11" t="n">
        <v>2</v>
      </c>
      <c r="E15" s="11" t="s">
        <v>3817</v>
      </c>
      <c r="F15" s="11" t="s">
        <v>3818</v>
      </c>
      <c r="G15" s="11" t="s">
        <v>3819</v>
      </c>
      <c r="H15" s="11"/>
    </row>
    <row r="16" customFormat="false" ht="15" hidden="false" customHeight="false" outlineLevel="0" collapsed="false">
      <c r="A16" s="11" t="n">
        <v>21</v>
      </c>
      <c r="B16" s="16" t="n">
        <v>46312</v>
      </c>
      <c r="C16" s="11" t="s">
        <v>300</v>
      </c>
      <c r="D16" s="11" t="n">
        <v>3</v>
      </c>
      <c r="E16" s="11" t="s">
        <v>3820</v>
      </c>
      <c r="F16" s="11" t="s">
        <v>3821</v>
      </c>
      <c r="G16" s="11" t="s">
        <v>3816</v>
      </c>
      <c r="H16" s="11"/>
    </row>
    <row r="17" customFormat="false" ht="15" hidden="false" customHeight="false" outlineLevel="0" collapsed="false">
      <c r="A17" s="11" t="n">
        <v>21</v>
      </c>
      <c r="B17" s="16" t="n">
        <v>46312</v>
      </c>
      <c r="C17" s="11" t="s">
        <v>300</v>
      </c>
      <c r="D17" s="11" t="n">
        <v>4</v>
      </c>
      <c r="E17" s="11" t="s">
        <v>3822</v>
      </c>
      <c r="F17" s="11" t="s">
        <v>3823</v>
      </c>
      <c r="G17" s="11" t="s">
        <v>3819</v>
      </c>
      <c r="H17" s="11"/>
    </row>
    <row r="18" customFormat="false" ht="15" hidden="false" customHeight="false" outlineLevel="0" collapsed="false">
      <c r="A18" s="11" t="n">
        <v>21</v>
      </c>
      <c r="B18" s="16" t="n">
        <v>46312</v>
      </c>
      <c r="C18" s="11" t="s">
        <v>300</v>
      </c>
      <c r="D18" s="11" t="n">
        <v>5</v>
      </c>
      <c r="E18" s="11" t="s">
        <v>3824</v>
      </c>
      <c r="F18" s="11" t="s">
        <v>3825</v>
      </c>
      <c r="G18" s="11" t="s">
        <v>3816</v>
      </c>
      <c r="H18" s="11"/>
    </row>
    <row r="19" customFormat="false" ht="23.85" hidden="false" customHeight="false" outlineLevel="0" collapsed="false">
      <c r="A19" s="11" t="n">
        <v>21</v>
      </c>
      <c r="B19" s="16" t="n">
        <v>46312</v>
      </c>
      <c r="C19" s="11" t="s">
        <v>300</v>
      </c>
      <c r="D19" s="11" t="n">
        <v>6</v>
      </c>
      <c r="E19" s="11" t="s">
        <v>3826</v>
      </c>
      <c r="F19" s="11" t="s">
        <v>3827</v>
      </c>
      <c r="G19" s="11" t="s">
        <v>3803</v>
      </c>
      <c r="H19" s="11"/>
    </row>
    <row r="20" customFormat="false" ht="23.85" hidden="false" customHeight="false" outlineLevel="0" collapsed="false">
      <c r="A20" s="11" t="n">
        <v>34</v>
      </c>
      <c r="B20" s="16" t="n">
        <v>46318</v>
      </c>
      <c r="C20" s="11" t="s">
        <v>440</v>
      </c>
      <c r="D20" s="11" t="n">
        <v>1</v>
      </c>
      <c r="E20" s="11" t="s">
        <v>442</v>
      </c>
      <c r="F20" s="11" t="s">
        <v>3828</v>
      </c>
      <c r="G20" s="11" t="s">
        <v>449</v>
      </c>
      <c r="H20" s="11" t="s">
        <v>448</v>
      </c>
    </row>
    <row r="21" customFormat="false" ht="23.85" hidden="false" customHeight="false" outlineLevel="0" collapsed="false">
      <c r="A21" s="11" t="n">
        <v>34</v>
      </c>
      <c r="B21" s="16" t="n">
        <v>46318</v>
      </c>
      <c r="C21" s="11" t="s">
        <v>440</v>
      </c>
      <c r="D21" s="11" t="n">
        <v>2</v>
      </c>
      <c r="E21" s="11" t="s">
        <v>3829</v>
      </c>
      <c r="F21" s="11" t="s">
        <v>3830</v>
      </c>
      <c r="G21" s="11" t="s">
        <v>3803</v>
      </c>
      <c r="H21" s="11"/>
    </row>
    <row r="22" customFormat="false" ht="15" hidden="false" customHeight="false" outlineLevel="0" collapsed="false">
      <c r="A22" s="11" t="n">
        <v>34</v>
      </c>
      <c r="B22" s="16" t="n">
        <v>46318</v>
      </c>
      <c r="C22" s="11" t="s">
        <v>440</v>
      </c>
      <c r="D22" s="11" t="n">
        <v>3</v>
      </c>
      <c r="E22" s="11" t="s">
        <v>3831</v>
      </c>
      <c r="F22" s="11" t="s">
        <v>3832</v>
      </c>
      <c r="G22" s="11" t="s">
        <v>449</v>
      </c>
      <c r="H22" s="11"/>
    </row>
    <row r="23" customFormat="false" ht="23.85" hidden="false" customHeight="false" outlineLevel="0" collapsed="false">
      <c r="A23" s="11" t="n">
        <v>34</v>
      </c>
      <c r="B23" s="16" t="n">
        <v>46318</v>
      </c>
      <c r="C23" s="11" t="s">
        <v>440</v>
      </c>
      <c r="D23" s="11" t="n">
        <v>4</v>
      </c>
      <c r="E23" s="11" t="s">
        <v>3833</v>
      </c>
      <c r="F23" s="11" t="s">
        <v>3834</v>
      </c>
      <c r="G23" s="11" t="s">
        <v>3803</v>
      </c>
      <c r="H23" s="11"/>
    </row>
    <row r="24" customFormat="false" ht="15" hidden="false" customHeight="false" outlineLevel="0" collapsed="false">
      <c r="A24" s="11" t="n">
        <v>34</v>
      </c>
      <c r="B24" s="16" t="n">
        <v>46318</v>
      </c>
      <c r="C24" s="11" t="s">
        <v>440</v>
      </c>
      <c r="D24" s="11" t="n">
        <v>5</v>
      </c>
      <c r="E24" s="11" t="s">
        <v>3835</v>
      </c>
      <c r="F24" s="11" t="s">
        <v>3836</v>
      </c>
      <c r="G24" s="11" t="s">
        <v>449</v>
      </c>
      <c r="H24" s="11"/>
    </row>
    <row r="25" customFormat="false" ht="23.85" hidden="false" customHeight="false" outlineLevel="0" collapsed="false">
      <c r="A25" s="11" t="n">
        <v>34</v>
      </c>
      <c r="B25" s="16" t="n">
        <v>46318</v>
      </c>
      <c r="C25" s="11" t="s">
        <v>440</v>
      </c>
      <c r="D25" s="11" t="n">
        <v>6</v>
      </c>
      <c r="E25" s="11" t="s">
        <v>3837</v>
      </c>
      <c r="F25" s="11" t="s">
        <v>3838</v>
      </c>
      <c r="G25" s="11" t="s">
        <v>3803</v>
      </c>
      <c r="H25" s="11"/>
    </row>
    <row r="26" customFormat="false" ht="23.85" hidden="false" customHeight="false" outlineLevel="0" collapsed="false">
      <c r="A26" s="11" t="n">
        <v>43</v>
      </c>
      <c r="B26" s="16" t="n">
        <v>46323</v>
      </c>
      <c r="C26" s="11" t="s">
        <v>361</v>
      </c>
      <c r="D26" s="11" t="n">
        <v>1</v>
      </c>
      <c r="E26" s="11" t="s">
        <v>541</v>
      </c>
      <c r="F26" s="11" t="s">
        <v>3839</v>
      </c>
      <c r="G26" s="11" t="s">
        <v>2426</v>
      </c>
      <c r="H26" s="11" t="s">
        <v>546</v>
      </c>
    </row>
    <row r="27" customFormat="false" ht="23.85" hidden="false" customHeight="false" outlineLevel="0" collapsed="false">
      <c r="A27" s="11" t="n">
        <v>43</v>
      </c>
      <c r="B27" s="16" t="n">
        <v>46323</v>
      </c>
      <c r="C27" s="11" t="s">
        <v>361</v>
      </c>
      <c r="D27" s="11" t="n">
        <v>2</v>
      </c>
      <c r="E27" s="11" t="s">
        <v>3840</v>
      </c>
      <c r="F27" s="11" t="s">
        <v>3841</v>
      </c>
      <c r="G27" s="11" t="s">
        <v>2434</v>
      </c>
      <c r="H27" s="11"/>
    </row>
    <row r="28" customFormat="false" ht="23.85" hidden="false" customHeight="false" outlineLevel="0" collapsed="false">
      <c r="A28" s="11" t="n">
        <v>43</v>
      </c>
      <c r="B28" s="16" t="n">
        <v>46323</v>
      </c>
      <c r="C28" s="11" t="s">
        <v>361</v>
      </c>
      <c r="D28" s="11" t="n">
        <v>3</v>
      </c>
      <c r="E28" s="11" t="s">
        <v>3842</v>
      </c>
      <c r="F28" s="11" t="s">
        <v>3843</v>
      </c>
      <c r="G28" s="11" t="s">
        <v>2426</v>
      </c>
      <c r="H28" s="11"/>
    </row>
    <row r="29" customFormat="false" ht="23.85" hidden="false" customHeight="false" outlineLevel="0" collapsed="false">
      <c r="A29" s="11" t="n">
        <v>43</v>
      </c>
      <c r="B29" s="16" t="n">
        <v>46323</v>
      </c>
      <c r="C29" s="11" t="s">
        <v>361</v>
      </c>
      <c r="D29" s="11" t="n">
        <v>4</v>
      </c>
      <c r="E29" s="11" t="s">
        <v>3807</v>
      </c>
      <c r="F29" s="11" t="s">
        <v>3844</v>
      </c>
      <c r="G29" s="11" t="s">
        <v>2434</v>
      </c>
      <c r="H29" s="11"/>
    </row>
    <row r="30" customFormat="false" ht="23.85" hidden="false" customHeight="false" outlineLevel="0" collapsed="false">
      <c r="A30" s="11" t="n">
        <v>43</v>
      </c>
      <c r="B30" s="16" t="n">
        <v>46323</v>
      </c>
      <c r="C30" s="11" t="s">
        <v>361</v>
      </c>
      <c r="D30" s="11" t="n">
        <v>5</v>
      </c>
      <c r="E30" s="11" t="s">
        <v>3845</v>
      </c>
      <c r="F30" s="11" t="s">
        <v>3846</v>
      </c>
      <c r="G30" s="11" t="s">
        <v>2426</v>
      </c>
      <c r="H30" s="11"/>
    </row>
    <row r="31" customFormat="false" ht="23.85" hidden="false" customHeight="false" outlineLevel="0" collapsed="false">
      <c r="A31" s="11" t="n">
        <v>43</v>
      </c>
      <c r="B31" s="16" t="n">
        <v>46323</v>
      </c>
      <c r="C31" s="11" t="s">
        <v>361</v>
      </c>
      <c r="D31" s="11" t="n">
        <v>6</v>
      </c>
      <c r="E31" s="11" t="s">
        <v>3847</v>
      </c>
      <c r="F31" s="11" t="s">
        <v>3848</v>
      </c>
      <c r="G31" s="11" t="s">
        <v>3803</v>
      </c>
      <c r="H31" s="11"/>
    </row>
    <row r="32" customFormat="false" ht="23.85" hidden="false" customHeight="false" outlineLevel="0" collapsed="false">
      <c r="A32" s="11" t="n">
        <v>48</v>
      </c>
      <c r="B32" s="16" t="n">
        <v>46325</v>
      </c>
      <c r="C32" s="11" t="s">
        <v>406</v>
      </c>
      <c r="D32" s="11" t="n">
        <v>1</v>
      </c>
      <c r="E32" s="11" t="s">
        <v>593</v>
      </c>
      <c r="F32" s="11" t="s">
        <v>3849</v>
      </c>
      <c r="G32" s="11" t="s">
        <v>2471</v>
      </c>
      <c r="H32" s="11" t="s">
        <v>599</v>
      </c>
    </row>
    <row r="33" customFormat="false" ht="15" hidden="false" customHeight="false" outlineLevel="0" collapsed="false">
      <c r="A33" s="11" t="n">
        <v>48</v>
      </c>
      <c r="B33" s="16" t="n">
        <v>46325</v>
      </c>
      <c r="C33" s="11" t="s">
        <v>406</v>
      </c>
      <c r="D33" s="11" t="n">
        <v>2</v>
      </c>
      <c r="E33" s="11" t="s">
        <v>3850</v>
      </c>
      <c r="F33" s="11" t="s">
        <v>3851</v>
      </c>
      <c r="G33" s="11" t="s">
        <v>2484</v>
      </c>
      <c r="H33" s="11"/>
    </row>
    <row r="34" customFormat="false" ht="15" hidden="false" customHeight="false" outlineLevel="0" collapsed="false">
      <c r="A34" s="11" t="n">
        <v>48</v>
      </c>
      <c r="B34" s="16" t="n">
        <v>46325</v>
      </c>
      <c r="C34" s="11" t="s">
        <v>406</v>
      </c>
      <c r="D34" s="11" t="n">
        <v>3</v>
      </c>
      <c r="E34" s="11" t="s">
        <v>3852</v>
      </c>
      <c r="F34" s="11" t="s">
        <v>3853</v>
      </c>
      <c r="G34" s="11" t="s">
        <v>2471</v>
      </c>
      <c r="H34" s="11"/>
    </row>
    <row r="35" customFormat="false" ht="15" hidden="false" customHeight="false" outlineLevel="0" collapsed="false">
      <c r="A35" s="11" t="n">
        <v>48</v>
      </c>
      <c r="B35" s="16" t="n">
        <v>46325</v>
      </c>
      <c r="C35" s="11" t="s">
        <v>406</v>
      </c>
      <c r="D35" s="11" t="n">
        <v>4</v>
      </c>
      <c r="E35" s="11" t="s">
        <v>3854</v>
      </c>
      <c r="F35" s="11" t="s">
        <v>3855</v>
      </c>
      <c r="G35" s="11" t="s">
        <v>2484</v>
      </c>
      <c r="H35" s="11"/>
    </row>
    <row r="36" customFormat="false" ht="15" hidden="false" customHeight="false" outlineLevel="0" collapsed="false">
      <c r="A36" s="11" t="n">
        <v>48</v>
      </c>
      <c r="B36" s="16" t="n">
        <v>46325</v>
      </c>
      <c r="C36" s="11" t="s">
        <v>406</v>
      </c>
      <c r="D36" s="11" t="n">
        <v>5</v>
      </c>
      <c r="E36" s="11" t="s">
        <v>3856</v>
      </c>
      <c r="F36" s="11" t="s">
        <v>3857</v>
      </c>
      <c r="G36" s="11" t="s">
        <v>2471</v>
      </c>
      <c r="H36" s="11"/>
    </row>
    <row r="37" customFormat="false" ht="23.85" hidden="false" customHeight="false" outlineLevel="0" collapsed="false">
      <c r="A37" s="11" t="n">
        <v>48</v>
      </c>
      <c r="B37" s="16" t="n">
        <v>46325</v>
      </c>
      <c r="C37" s="11" t="s">
        <v>406</v>
      </c>
      <c r="D37" s="11" t="n">
        <v>6</v>
      </c>
      <c r="E37" s="11" t="s">
        <v>80</v>
      </c>
      <c r="F37" s="11" t="s">
        <v>3858</v>
      </c>
      <c r="G37" s="11" t="s">
        <v>3803</v>
      </c>
      <c r="H37" s="11"/>
    </row>
    <row r="38" customFormat="false" ht="23.85" hidden="false" customHeight="false" outlineLevel="0" collapsed="false">
      <c r="A38" s="11" t="n">
        <v>52</v>
      </c>
      <c r="B38" s="16" t="n">
        <v>46327</v>
      </c>
      <c r="C38" s="11" t="s">
        <v>636</v>
      </c>
      <c r="D38" s="11" t="n">
        <v>1</v>
      </c>
      <c r="E38" s="11" t="s">
        <v>638</v>
      </c>
      <c r="F38" s="11" t="s">
        <v>3859</v>
      </c>
      <c r="G38" s="11" t="s">
        <v>3860</v>
      </c>
      <c r="H38" s="11" t="s">
        <v>644</v>
      </c>
    </row>
    <row r="39" customFormat="false" ht="15" hidden="false" customHeight="false" outlineLevel="0" collapsed="false">
      <c r="A39" s="11" t="n">
        <v>52</v>
      </c>
      <c r="B39" s="16" t="n">
        <v>46327</v>
      </c>
      <c r="C39" s="11" t="s">
        <v>636</v>
      </c>
      <c r="D39" s="11" t="n">
        <v>2</v>
      </c>
      <c r="E39" s="11" t="s">
        <v>3861</v>
      </c>
      <c r="F39" s="11" t="s">
        <v>3862</v>
      </c>
      <c r="G39" s="11" t="s">
        <v>3863</v>
      </c>
      <c r="H39" s="11"/>
    </row>
    <row r="40" customFormat="false" ht="15" hidden="false" customHeight="false" outlineLevel="0" collapsed="false">
      <c r="A40" s="11" t="n">
        <v>52</v>
      </c>
      <c r="B40" s="16" t="n">
        <v>46327</v>
      </c>
      <c r="C40" s="11" t="s">
        <v>636</v>
      </c>
      <c r="D40" s="11" t="n">
        <v>3</v>
      </c>
      <c r="E40" s="11" t="s">
        <v>3864</v>
      </c>
      <c r="F40" s="11" t="s">
        <v>3865</v>
      </c>
      <c r="G40" s="11" t="s">
        <v>3860</v>
      </c>
      <c r="H40" s="11"/>
    </row>
    <row r="41" customFormat="false" ht="15" hidden="false" customHeight="false" outlineLevel="0" collapsed="false">
      <c r="A41" s="11" t="n">
        <v>52</v>
      </c>
      <c r="B41" s="16" t="n">
        <v>46327</v>
      </c>
      <c r="C41" s="11" t="s">
        <v>636</v>
      </c>
      <c r="D41" s="11" t="n">
        <v>4</v>
      </c>
      <c r="E41" s="11" t="s">
        <v>3866</v>
      </c>
      <c r="F41" s="11" t="s">
        <v>3867</v>
      </c>
      <c r="G41" s="11" t="s">
        <v>3863</v>
      </c>
      <c r="H41" s="11"/>
    </row>
    <row r="42" customFormat="false" ht="15" hidden="false" customHeight="false" outlineLevel="0" collapsed="false">
      <c r="A42" s="11" t="n">
        <v>52</v>
      </c>
      <c r="B42" s="16" t="n">
        <v>46327</v>
      </c>
      <c r="C42" s="11" t="s">
        <v>636</v>
      </c>
      <c r="D42" s="11" t="n">
        <v>5</v>
      </c>
      <c r="E42" s="11" t="s">
        <v>3868</v>
      </c>
      <c r="F42" s="11" t="s">
        <v>3869</v>
      </c>
      <c r="G42" s="11" t="s">
        <v>3860</v>
      </c>
      <c r="H42" s="11"/>
    </row>
    <row r="43" customFormat="false" ht="23.85" hidden="false" customHeight="false" outlineLevel="0" collapsed="false">
      <c r="A43" s="11" t="n">
        <v>52</v>
      </c>
      <c r="B43" s="16" t="n">
        <v>46327</v>
      </c>
      <c r="C43" s="11" t="s">
        <v>636</v>
      </c>
      <c r="D43" s="11" t="n">
        <v>6</v>
      </c>
      <c r="E43" s="11" t="s">
        <v>3870</v>
      </c>
      <c r="F43" s="11" t="s">
        <v>3871</v>
      </c>
      <c r="G43" s="11" t="s">
        <v>3803</v>
      </c>
      <c r="H43" s="11"/>
    </row>
    <row r="44" customFormat="false" ht="23.85" hidden="false" customHeight="false" outlineLevel="0" collapsed="false">
      <c r="A44" s="11" t="n">
        <v>63</v>
      </c>
      <c r="B44" s="16" t="n">
        <v>46333</v>
      </c>
      <c r="C44" s="11" t="s">
        <v>581</v>
      </c>
      <c r="D44" s="11" t="n">
        <v>1</v>
      </c>
      <c r="E44" s="11" t="s">
        <v>750</v>
      </c>
      <c r="F44" s="11" t="s">
        <v>3872</v>
      </c>
      <c r="G44" s="11" t="s">
        <v>2632</v>
      </c>
      <c r="H44" s="11" t="s">
        <v>755</v>
      </c>
    </row>
    <row r="45" customFormat="false" ht="15" hidden="false" customHeight="false" outlineLevel="0" collapsed="false">
      <c r="A45" s="11" t="n">
        <v>63</v>
      </c>
      <c r="B45" s="16" t="n">
        <v>46333</v>
      </c>
      <c r="C45" s="11" t="s">
        <v>581</v>
      </c>
      <c r="D45" s="11" t="n">
        <v>2</v>
      </c>
      <c r="E45" s="11" t="s">
        <v>3873</v>
      </c>
      <c r="F45" s="11" t="s">
        <v>3874</v>
      </c>
      <c r="G45" s="11" t="s">
        <v>2645</v>
      </c>
      <c r="H45" s="11"/>
    </row>
    <row r="46" customFormat="false" ht="15" hidden="false" customHeight="false" outlineLevel="0" collapsed="false">
      <c r="A46" s="11" t="n">
        <v>63</v>
      </c>
      <c r="B46" s="16" t="n">
        <v>46333</v>
      </c>
      <c r="C46" s="11" t="s">
        <v>581</v>
      </c>
      <c r="D46" s="11" t="n">
        <v>3</v>
      </c>
      <c r="E46" s="11" t="s">
        <v>3875</v>
      </c>
      <c r="F46" s="11" t="s">
        <v>3876</v>
      </c>
      <c r="G46" s="11" t="s">
        <v>2632</v>
      </c>
      <c r="H46" s="11"/>
    </row>
    <row r="47" customFormat="false" ht="15" hidden="false" customHeight="false" outlineLevel="0" collapsed="false">
      <c r="A47" s="11" t="n">
        <v>63</v>
      </c>
      <c r="B47" s="16" t="n">
        <v>46333</v>
      </c>
      <c r="C47" s="11" t="s">
        <v>581</v>
      </c>
      <c r="D47" s="11" t="n">
        <v>4</v>
      </c>
      <c r="E47" s="11" t="s">
        <v>3877</v>
      </c>
      <c r="F47" s="11" t="s">
        <v>3878</v>
      </c>
      <c r="G47" s="11" t="s">
        <v>2645</v>
      </c>
      <c r="H47" s="11"/>
    </row>
    <row r="48" customFormat="false" ht="15" hidden="false" customHeight="false" outlineLevel="0" collapsed="false">
      <c r="A48" s="11" t="n">
        <v>63</v>
      </c>
      <c r="B48" s="16" t="n">
        <v>46333</v>
      </c>
      <c r="C48" s="11" t="s">
        <v>581</v>
      </c>
      <c r="D48" s="11" t="n">
        <v>5</v>
      </c>
      <c r="E48" s="11" t="s">
        <v>3879</v>
      </c>
      <c r="F48" s="11" t="s">
        <v>3880</v>
      </c>
      <c r="G48" s="11" t="s">
        <v>2632</v>
      </c>
      <c r="H48" s="11"/>
    </row>
    <row r="49" customFormat="false" ht="23.85" hidden="false" customHeight="false" outlineLevel="0" collapsed="false">
      <c r="A49" s="11" t="n">
        <v>63</v>
      </c>
      <c r="B49" s="16" t="n">
        <v>46333</v>
      </c>
      <c r="C49" s="11" t="s">
        <v>581</v>
      </c>
      <c r="D49" s="11" t="n">
        <v>6</v>
      </c>
      <c r="E49" s="11" t="s">
        <v>3881</v>
      </c>
      <c r="F49" s="11" t="s">
        <v>3882</v>
      </c>
      <c r="G49" s="11" t="s">
        <v>3803</v>
      </c>
      <c r="H49" s="11"/>
    </row>
    <row r="50" customFormat="false" ht="23.85" hidden="false" customHeight="false" outlineLevel="0" collapsed="false">
      <c r="A50" s="11" t="n">
        <v>67</v>
      </c>
      <c r="B50" s="16" t="n">
        <v>46335</v>
      </c>
      <c r="C50" s="11" t="s">
        <v>788</v>
      </c>
      <c r="D50" s="11" t="n">
        <v>1</v>
      </c>
      <c r="E50" s="11" t="s">
        <v>790</v>
      </c>
      <c r="F50" s="11" t="s">
        <v>3883</v>
      </c>
      <c r="G50" s="11" t="s">
        <v>3884</v>
      </c>
      <c r="H50" s="11" t="s">
        <v>796</v>
      </c>
    </row>
    <row r="51" customFormat="false" ht="15" hidden="false" customHeight="false" outlineLevel="0" collapsed="false">
      <c r="A51" s="11" t="n">
        <v>67</v>
      </c>
      <c r="B51" s="16" t="n">
        <v>46335</v>
      </c>
      <c r="C51" s="11" t="s">
        <v>788</v>
      </c>
      <c r="D51" s="11" t="n">
        <v>2</v>
      </c>
      <c r="E51" s="11" t="s">
        <v>3885</v>
      </c>
      <c r="F51" s="11" t="s">
        <v>3886</v>
      </c>
      <c r="G51" s="11" t="s">
        <v>3887</v>
      </c>
      <c r="H51" s="11"/>
    </row>
    <row r="52" customFormat="false" ht="15" hidden="false" customHeight="false" outlineLevel="0" collapsed="false">
      <c r="A52" s="11" t="n">
        <v>67</v>
      </c>
      <c r="B52" s="16" t="n">
        <v>46335</v>
      </c>
      <c r="C52" s="11" t="s">
        <v>788</v>
      </c>
      <c r="D52" s="11" t="n">
        <v>3</v>
      </c>
      <c r="E52" s="11" t="s">
        <v>3888</v>
      </c>
      <c r="F52" s="11" t="s">
        <v>3889</v>
      </c>
      <c r="G52" s="11" t="s">
        <v>3884</v>
      </c>
      <c r="H52" s="11"/>
    </row>
    <row r="53" customFormat="false" ht="15" hidden="false" customHeight="false" outlineLevel="0" collapsed="false">
      <c r="A53" s="11" t="n">
        <v>67</v>
      </c>
      <c r="B53" s="16" t="n">
        <v>46335</v>
      </c>
      <c r="C53" s="11" t="s">
        <v>788</v>
      </c>
      <c r="D53" s="11" t="n">
        <v>4</v>
      </c>
      <c r="E53" s="11" t="s">
        <v>3890</v>
      </c>
      <c r="F53" s="11" t="s">
        <v>3891</v>
      </c>
      <c r="G53" s="11" t="s">
        <v>3887</v>
      </c>
      <c r="H53" s="11"/>
    </row>
    <row r="54" customFormat="false" ht="15" hidden="false" customHeight="false" outlineLevel="0" collapsed="false">
      <c r="A54" s="11" t="n">
        <v>67</v>
      </c>
      <c r="B54" s="16" t="n">
        <v>46335</v>
      </c>
      <c r="C54" s="11" t="s">
        <v>788</v>
      </c>
      <c r="D54" s="11" t="n">
        <v>5</v>
      </c>
      <c r="E54" s="11" t="s">
        <v>3892</v>
      </c>
      <c r="F54" s="11" t="s">
        <v>3893</v>
      </c>
      <c r="G54" s="11" t="s">
        <v>3884</v>
      </c>
      <c r="H54" s="11"/>
    </row>
    <row r="55" customFormat="false" ht="23.85" hidden="false" customHeight="false" outlineLevel="0" collapsed="false">
      <c r="A55" s="11" t="n">
        <v>67</v>
      </c>
      <c r="B55" s="16" t="n">
        <v>46335</v>
      </c>
      <c r="C55" s="11" t="s">
        <v>788</v>
      </c>
      <c r="D55" s="11" t="n">
        <v>6</v>
      </c>
      <c r="E55" s="11" t="s">
        <v>3894</v>
      </c>
      <c r="F55" s="11" t="s">
        <v>3895</v>
      </c>
      <c r="G55" s="11" t="s">
        <v>3803</v>
      </c>
      <c r="H55" s="11"/>
    </row>
    <row r="56" customFormat="false" ht="23.85" hidden="false" customHeight="false" outlineLevel="0" collapsed="false">
      <c r="A56" s="11" t="n">
        <v>68</v>
      </c>
      <c r="B56" s="16" t="n">
        <v>46335</v>
      </c>
      <c r="C56" s="11" t="s">
        <v>614</v>
      </c>
      <c r="D56" s="11" t="n">
        <v>1</v>
      </c>
      <c r="E56" s="11" t="s">
        <v>801</v>
      </c>
      <c r="F56" s="11" t="s">
        <v>3896</v>
      </c>
      <c r="G56" s="11" t="s">
        <v>609</v>
      </c>
      <c r="H56" s="11" t="s">
        <v>806</v>
      </c>
    </row>
    <row r="57" customFormat="false" ht="23.85" hidden="false" customHeight="false" outlineLevel="0" collapsed="false">
      <c r="A57" s="11" t="n">
        <v>68</v>
      </c>
      <c r="B57" s="16" t="n">
        <v>46335</v>
      </c>
      <c r="C57" s="11" t="s">
        <v>614</v>
      </c>
      <c r="D57" s="11" t="n">
        <v>2</v>
      </c>
      <c r="E57" s="11" t="s">
        <v>3897</v>
      </c>
      <c r="F57" s="11" t="s">
        <v>3898</v>
      </c>
      <c r="G57" s="11" t="s">
        <v>3803</v>
      </c>
      <c r="H57" s="11"/>
    </row>
    <row r="58" customFormat="false" ht="15" hidden="false" customHeight="false" outlineLevel="0" collapsed="false">
      <c r="A58" s="11" t="n">
        <v>68</v>
      </c>
      <c r="B58" s="16" t="n">
        <v>46335</v>
      </c>
      <c r="C58" s="11" t="s">
        <v>614</v>
      </c>
      <c r="D58" s="11" t="n">
        <v>3</v>
      </c>
      <c r="E58" s="11" t="s">
        <v>3899</v>
      </c>
      <c r="F58" s="11" t="s">
        <v>3900</v>
      </c>
      <c r="G58" s="11" t="s">
        <v>609</v>
      </c>
      <c r="H58" s="11"/>
    </row>
    <row r="59" customFormat="false" ht="23.85" hidden="false" customHeight="false" outlineLevel="0" collapsed="false">
      <c r="A59" s="11" t="n">
        <v>68</v>
      </c>
      <c r="B59" s="16" t="n">
        <v>46335</v>
      </c>
      <c r="C59" s="11" t="s">
        <v>614</v>
      </c>
      <c r="D59" s="11" t="n">
        <v>4</v>
      </c>
      <c r="E59" s="11" t="s">
        <v>3901</v>
      </c>
      <c r="F59" s="11" t="s">
        <v>3902</v>
      </c>
      <c r="G59" s="11" t="s">
        <v>3803</v>
      </c>
      <c r="H59" s="11"/>
    </row>
    <row r="60" customFormat="false" ht="15" hidden="false" customHeight="false" outlineLevel="0" collapsed="false">
      <c r="A60" s="11" t="n">
        <v>68</v>
      </c>
      <c r="B60" s="16" t="n">
        <v>46335</v>
      </c>
      <c r="C60" s="11" t="s">
        <v>614</v>
      </c>
      <c r="D60" s="11" t="n">
        <v>5</v>
      </c>
      <c r="E60" s="11" t="s">
        <v>3903</v>
      </c>
      <c r="F60" s="11" t="s">
        <v>3904</v>
      </c>
      <c r="G60" s="11" t="s">
        <v>609</v>
      </c>
      <c r="H60" s="11"/>
    </row>
    <row r="61" customFormat="false" ht="23.85" hidden="false" customHeight="false" outlineLevel="0" collapsed="false">
      <c r="A61" s="11" t="n">
        <v>68</v>
      </c>
      <c r="B61" s="16" t="n">
        <v>46335</v>
      </c>
      <c r="C61" s="11" t="s">
        <v>614</v>
      </c>
      <c r="D61" s="11" t="n">
        <v>6</v>
      </c>
      <c r="E61" s="11" t="s">
        <v>3905</v>
      </c>
      <c r="F61" s="11" t="s">
        <v>3906</v>
      </c>
      <c r="G61" s="11" t="s">
        <v>3803</v>
      </c>
      <c r="H61" s="11"/>
    </row>
    <row r="62" customFormat="false" ht="23.85" hidden="false" customHeight="false" outlineLevel="0" collapsed="false">
      <c r="A62" s="11" t="n">
        <v>87</v>
      </c>
      <c r="B62" s="16" t="n">
        <v>46345</v>
      </c>
      <c r="C62" s="11" t="s">
        <v>829</v>
      </c>
      <c r="D62" s="11" t="n">
        <v>1</v>
      </c>
      <c r="E62" s="11" t="s">
        <v>1004</v>
      </c>
      <c r="F62" s="11" t="s">
        <v>3907</v>
      </c>
      <c r="G62" s="11" t="s">
        <v>2767</v>
      </c>
      <c r="H62" s="11" t="s">
        <v>1009</v>
      </c>
    </row>
    <row r="63" customFormat="false" ht="23.85" hidden="false" customHeight="false" outlineLevel="0" collapsed="false">
      <c r="A63" s="11" t="n">
        <v>87</v>
      </c>
      <c r="B63" s="16" t="n">
        <v>46345</v>
      </c>
      <c r="C63" s="11" t="s">
        <v>829</v>
      </c>
      <c r="D63" s="11" t="n">
        <v>2</v>
      </c>
      <c r="E63" s="11" t="s">
        <v>3908</v>
      </c>
      <c r="F63" s="11" t="s">
        <v>3909</v>
      </c>
      <c r="G63" s="11" t="s">
        <v>2783</v>
      </c>
      <c r="H63" s="11"/>
    </row>
    <row r="64" customFormat="false" ht="23.85" hidden="false" customHeight="false" outlineLevel="0" collapsed="false">
      <c r="A64" s="11" t="n">
        <v>87</v>
      </c>
      <c r="B64" s="16" t="n">
        <v>46345</v>
      </c>
      <c r="C64" s="11" t="s">
        <v>829</v>
      </c>
      <c r="D64" s="11" t="n">
        <v>3</v>
      </c>
      <c r="E64" s="11" t="s">
        <v>3910</v>
      </c>
      <c r="F64" s="11" t="s">
        <v>3911</v>
      </c>
      <c r="G64" s="11" t="s">
        <v>2767</v>
      </c>
      <c r="H64" s="11"/>
    </row>
    <row r="65" customFormat="false" ht="23.85" hidden="false" customHeight="false" outlineLevel="0" collapsed="false">
      <c r="A65" s="11" t="n">
        <v>87</v>
      </c>
      <c r="B65" s="16" t="n">
        <v>46345</v>
      </c>
      <c r="C65" s="11" t="s">
        <v>829</v>
      </c>
      <c r="D65" s="11" t="n">
        <v>4</v>
      </c>
      <c r="E65" s="11" t="s">
        <v>3912</v>
      </c>
      <c r="F65" s="11" t="s">
        <v>3913</v>
      </c>
      <c r="G65" s="11" t="s">
        <v>2783</v>
      </c>
      <c r="H65" s="11"/>
    </row>
    <row r="66" customFormat="false" ht="23.85" hidden="false" customHeight="false" outlineLevel="0" collapsed="false">
      <c r="A66" s="11" t="n">
        <v>87</v>
      </c>
      <c r="B66" s="16" t="n">
        <v>46345</v>
      </c>
      <c r="C66" s="11" t="s">
        <v>829</v>
      </c>
      <c r="D66" s="11" t="n">
        <v>5</v>
      </c>
      <c r="E66" s="11" t="s">
        <v>3914</v>
      </c>
      <c r="F66" s="11" t="s">
        <v>3915</v>
      </c>
      <c r="G66" s="11" t="s">
        <v>2767</v>
      </c>
      <c r="H66" s="11"/>
    </row>
    <row r="67" customFormat="false" ht="23.85" hidden="false" customHeight="false" outlineLevel="0" collapsed="false">
      <c r="A67" s="11" t="n">
        <v>87</v>
      </c>
      <c r="B67" s="16" t="n">
        <v>46345</v>
      </c>
      <c r="C67" s="11" t="s">
        <v>829</v>
      </c>
      <c r="D67" s="11" t="n">
        <v>6</v>
      </c>
      <c r="E67" s="11" t="s">
        <v>3916</v>
      </c>
      <c r="F67" s="11" t="s">
        <v>3882</v>
      </c>
      <c r="G67" s="11" t="s">
        <v>3803</v>
      </c>
      <c r="H67" s="11"/>
    </row>
    <row r="68" customFormat="false" ht="23.85" hidden="false" customHeight="false" outlineLevel="0" collapsed="false">
      <c r="A68" s="11" t="n">
        <v>88</v>
      </c>
      <c r="B68" s="16" t="n">
        <v>46345</v>
      </c>
      <c r="C68" s="11" t="s">
        <v>1011</v>
      </c>
      <c r="D68" s="11" t="n">
        <v>1</v>
      </c>
      <c r="E68" s="11" t="s">
        <v>1013</v>
      </c>
      <c r="F68" s="11" t="s">
        <v>3917</v>
      </c>
      <c r="G68" s="11" t="s">
        <v>3918</v>
      </c>
      <c r="H68" s="11" t="s">
        <v>1018</v>
      </c>
    </row>
    <row r="69" customFormat="false" ht="15" hidden="false" customHeight="false" outlineLevel="0" collapsed="false">
      <c r="A69" s="11" t="n">
        <v>88</v>
      </c>
      <c r="B69" s="16" t="n">
        <v>46345</v>
      </c>
      <c r="C69" s="11" t="s">
        <v>1011</v>
      </c>
      <c r="D69" s="11" t="n">
        <v>2</v>
      </c>
      <c r="E69" s="11" t="s">
        <v>3919</v>
      </c>
      <c r="F69" s="11" t="s">
        <v>3920</v>
      </c>
      <c r="G69" s="11" t="s">
        <v>3921</v>
      </c>
      <c r="H69" s="11"/>
    </row>
    <row r="70" customFormat="false" ht="15" hidden="false" customHeight="false" outlineLevel="0" collapsed="false">
      <c r="A70" s="11" t="n">
        <v>88</v>
      </c>
      <c r="B70" s="16" t="n">
        <v>46345</v>
      </c>
      <c r="C70" s="11" t="s">
        <v>1011</v>
      </c>
      <c r="D70" s="11" t="n">
        <v>3</v>
      </c>
      <c r="E70" s="11" t="s">
        <v>3922</v>
      </c>
      <c r="F70" s="11" t="s">
        <v>3923</v>
      </c>
      <c r="G70" s="11" t="s">
        <v>3918</v>
      </c>
      <c r="H70" s="11"/>
    </row>
    <row r="71" customFormat="false" ht="15" hidden="false" customHeight="false" outlineLevel="0" collapsed="false">
      <c r="A71" s="11" t="n">
        <v>88</v>
      </c>
      <c r="B71" s="16" t="n">
        <v>46345</v>
      </c>
      <c r="C71" s="11" t="s">
        <v>1011</v>
      </c>
      <c r="D71" s="11" t="n">
        <v>4</v>
      </c>
      <c r="E71" s="11" t="s">
        <v>3924</v>
      </c>
      <c r="F71" s="11" t="s">
        <v>3925</v>
      </c>
      <c r="G71" s="11" t="s">
        <v>3921</v>
      </c>
      <c r="H71" s="11"/>
    </row>
    <row r="72" customFormat="false" ht="15" hidden="false" customHeight="false" outlineLevel="0" collapsed="false">
      <c r="A72" s="11" t="n">
        <v>88</v>
      </c>
      <c r="B72" s="16" t="n">
        <v>46345</v>
      </c>
      <c r="C72" s="11" t="s">
        <v>1011</v>
      </c>
      <c r="D72" s="11" t="n">
        <v>5</v>
      </c>
      <c r="E72" s="11" t="s">
        <v>3926</v>
      </c>
      <c r="F72" s="11" t="s">
        <v>3927</v>
      </c>
      <c r="G72" s="11" t="s">
        <v>3918</v>
      </c>
      <c r="H72" s="11"/>
    </row>
    <row r="73" customFormat="false" ht="23.85" hidden="false" customHeight="false" outlineLevel="0" collapsed="false">
      <c r="A73" s="11" t="n">
        <v>88</v>
      </c>
      <c r="B73" s="16" t="n">
        <v>46345</v>
      </c>
      <c r="C73" s="11" t="s">
        <v>1011</v>
      </c>
      <c r="D73" s="11" t="n">
        <v>6</v>
      </c>
      <c r="E73" s="11" t="s">
        <v>3928</v>
      </c>
      <c r="F73" s="11" t="s">
        <v>3929</v>
      </c>
      <c r="G73" s="11" t="s">
        <v>3803</v>
      </c>
      <c r="H73" s="11"/>
    </row>
    <row r="74" customFormat="false" ht="23.85" hidden="false" customHeight="false" outlineLevel="0" collapsed="false">
      <c r="A74" s="11" t="n">
        <v>100</v>
      </c>
      <c r="B74" s="16" t="n">
        <v>46351</v>
      </c>
      <c r="C74" s="11" t="s">
        <v>959</v>
      </c>
      <c r="D74" s="11" t="n">
        <v>1</v>
      </c>
      <c r="E74" s="11" t="s">
        <v>1138</v>
      </c>
      <c r="F74" s="11" t="s">
        <v>3930</v>
      </c>
      <c r="G74" s="11" t="s">
        <v>2881</v>
      </c>
      <c r="H74" s="11" t="s">
        <v>1143</v>
      </c>
    </row>
    <row r="75" customFormat="false" ht="15" hidden="false" customHeight="false" outlineLevel="0" collapsed="false">
      <c r="A75" s="11" t="n">
        <v>100</v>
      </c>
      <c r="B75" s="16" t="n">
        <v>46351</v>
      </c>
      <c r="C75" s="11" t="s">
        <v>959</v>
      </c>
      <c r="D75" s="11" t="n">
        <v>2</v>
      </c>
      <c r="E75" s="11" t="s">
        <v>3931</v>
      </c>
      <c r="F75" s="11" t="s">
        <v>3932</v>
      </c>
      <c r="G75" s="11" t="s">
        <v>2892</v>
      </c>
      <c r="H75" s="11"/>
    </row>
    <row r="76" customFormat="false" ht="15" hidden="false" customHeight="false" outlineLevel="0" collapsed="false">
      <c r="A76" s="11" t="n">
        <v>100</v>
      </c>
      <c r="B76" s="16" t="n">
        <v>46351</v>
      </c>
      <c r="C76" s="11" t="s">
        <v>959</v>
      </c>
      <c r="D76" s="11" t="n">
        <v>3</v>
      </c>
      <c r="E76" s="11" t="s">
        <v>3933</v>
      </c>
      <c r="F76" s="11" t="s">
        <v>3934</v>
      </c>
      <c r="G76" s="11" t="s">
        <v>2881</v>
      </c>
      <c r="H76" s="11"/>
    </row>
    <row r="77" customFormat="false" ht="15" hidden="false" customHeight="false" outlineLevel="0" collapsed="false">
      <c r="A77" s="11" t="n">
        <v>100</v>
      </c>
      <c r="B77" s="16" t="n">
        <v>46351</v>
      </c>
      <c r="C77" s="11" t="s">
        <v>959</v>
      </c>
      <c r="D77" s="11" t="n">
        <v>4</v>
      </c>
      <c r="E77" s="11" t="s">
        <v>3935</v>
      </c>
      <c r="F77" s="11" t="s">
        <v>3936</v>
      </c>
      <c r="G77" s="11" t="s">
        <v>2892</v>
      </c>
      <c r="H77" s="11"/>
    </row>
    <row r="78" customFormat="false" ht="15" hidden="false" customHeight="false" outlineLevel="0" collapsed="false">
      <c r="A78" s="11" t="n">
        <v>100</v>
      </c>
      <c r="B78" s="16" t="n">
        <v>46351</v>
      </c>
      <c r="C78" s="11" t="s">
        <v>959</v>
      </c>
      <c r="D78" s="11" t="n">
        <v>5</v>
      </c>
      <c r="E78" s="11" t="s">
        <v>3937</v>
      </c>
      <c r="F78" s="11" t="s">
        <v>3938</v>
      </c>
      <c r="G78" s="11" t="s">
        <v>2881</v>
      </c>
      <c r="H78" s="11"/>
    </row>
    <row r="79" customFormat="false" ht="23.85" hidden="false" customHeight="false" outlineLevel="0" collapsed="false">
      <c r="A79" s="11" t="n">
        <v>100</v>
      </c>
      <c r="B79" s="16" t="n">
        <v>46351</v>
      </c>
      <c r="C79" s="11" t="s">
        <v>959</v>
      </c>
      <c r="D79" s="11" t="n">
        <v>6</v>
      </c>
      <c r="E79" s="11" t="s">
        <v>3939</v>
      </c>
      <c r="F79" s="11" t="s">
        <v>3940</v>
      </c>
      <c r="G79" s="11" t="s">
        <v>3803</v>
      </c>
      <c r="H79" s="11"/>
    </row>
    <row r="80" customFormat="false" ht="23.85" hidden="false" customHeight="false" outlineLevel="0" collapsed="false">
      <c r="A80" s="11" t="n">
        <v>102</v>
      </c>
      <c r="B80" s="16" t="n">
        <v>46352</v>
      </c>
      <c r="C80" s="11" t="s">
        <v>1155</v>
      </c>
      <c r="D80" s="11" t="n">
        <v>1</v>
      </c>
      <c r="E80" s="11" t="s">
        <v>1157</v>
      </c>
      <c r="F80" s="11" t="s">
        <v>3941</v>
      </c>
      <c r="G80" s="11" t="s">
        <v>3942</v>
      </c>
      <c r="H80" s="11" t="s">
        <v>1162</v>
      </c>
    </row>
    <row r="81" customFormat="false" ht="15" hidden="false" customHeight="false" outlineLevel="0" collapsed="false">
      <c r="A81" s="11" t="n">
        <v>102</v>
      </c>
      <c r="B81" s="16" t="n">
        <v>46352</v>
      </c>
      <c r="C81" s="11" t="s">
        <v>1155</v>
      </c>
      <c r="D81" s="11" t="n">
        <v>2</v>
      </c>
      <c r="E81" s="11" t="s">
        <v>3943</v>
      </c>
      <c r="F81" s="11" t="s">
        <v>3944</v>
      </c>
      <c r="G81" s="11" t="s">
        <v>3945</v>
      </c>
      <c r="H81" s="11"/>
    </row>
    <row r="82" customFormat="false" ht="15" hidden="false" customHeight="false" outlineLevel="0" collapsed="false">
      <c r="A82" s="11" t="n">
        <v>102</v>
      </c>
      <c r="B82" s="16" t="n">
        <v>46352</v>
      </c>
      <c r="C82" s="11" t="s">
        <v>1155</v>
      </c>
      <c r="D82" s="11" t="n">
        <v>3</v>
      </c>
      <c r="E82" s="11" t="s">
        <v>3946</v>
      </c>
      <c r="F82" s="11" t="s">
        <v>3947</v>
      </c>
      <c r="G82" s="11" t="s">
        <v>3942</v>
      </c>
      <c r="H82" s="11"/>
    </row>
    <row r="83" customFormat="false" ht="15" hidden="false" customHeight="false" outlineLevel="0" collapsed="false">
      <c r="A83" s="11" t="n">
        <v>102</v>
      </c>
      <c r="B83" s="16" t="n">
        <v>46352</v>
      </c>
      <c r="C83" s="11" t="s">
        <v>1155</v>
      </c>
      <c r="D83" s="11" t="n">
        <v>4</v>
      </c>
      <c r="E83" s="11" t="s">
        <v>3948</v>
      </c>
      <c r="F83" s="11" t="s">
        <v>3949</v>
      </c>
      <c r="G83" s="11" t="s">
        <v>3945</v>
      </c>
      <c r="H83" s="11"/>
    </row>
    <row r="84" customFormat="false" ht="15" hidden="false" customHeight="false" outlineLevel="0" collapsed="false">
      <c r="A84" s="11" t="n">
        <v>102</v>
      </c>
      <c r="B84" s="16" t="n">
        <v>46352</v>
      </c>
      <c r="C84" s="11" t="s">
        <v>1155</v>
      </c>
      <c r="D84" s="11" t="n">
        <v>5</v>
      </c>
      <c r="E84" s="11" t="s">
        <v>3950</v>
      </c>
      <c r="F84" s="11" t="s">
        <v>3951</v>
      </c>
      <c r="G84" s="11" t="s">
        <v>3942</v>
      </c>
      <c r="H84" s="11"/>
    </row>
    <row r="85" customFormat="false" ht="23.85" hidden="false" customHeight="false" outlineLevel="0" collapsed="false">
      <c r="A85" s="11" t="n">
        <v>102</v>
      </c>
      <c r="B85" s="16" t="n">
        <v>46352</v>
      </c>
      <c r="C85" s="11" t="s">
        <v>1155</v>
      </c>
      <c r="D85" s="11" t="n">
        <v>6</v>
      </c>
      <c r="E85" s="11" t="s">
        <v>3952</v>
      </c>
      <c r="F85" s="11" t="s">
        <v>3953</v>
      </c>
      <c r="G85" s="11" t="s">
        <v>3803</v>
      </c>
      <c r="H85" s="11"/>
    </row>
    <row r="86" customFormat="false" ht="23.85" hidden="false" customHeight="false" outlineLevel="0" collapsed="false">
      <c r="A86" s="11" t="n">
        <v>111</v>
      </c>
      <c r="B86" s="16" t="n">
        <v>46357</v>
      </c>
      <c r="C86" s="11" t="s">
        <v>1249</v>
      </c>
      <c r="D86" s="11" t="n">
        <v>1</v>
      </c>
      <c r="E86" s="11" t="s">
        <v>1251</v>
      </c>
      <c r="F86" s="11" t="s">
        <v>3954</v>
      </c>
      <c r="G86" s="11" t="s">
        <v>3955</v>
      </c>
      <c r="H86" s="11" t="s">
        <v>1257</v>
      </c>
    </row>
    <row r="87" customFormat="false" ht="15" hidden="false" customHeight="false" outlineLevel="0" collapsed="false">
      <c r="A87" s="11" t="n">
        <v>111</v>
      </c>
      <c r="B87" s="16" t="n">
        <v>46357</v>
      </c>
      <c r="C87" s="11" t="s">
        <v>1249</v>
      </c>
      <c r="D87" s="11" t="n">
        <v>2</v>
      </c>
      <c r="E87" s="11" t="s">
        <v>3956</v>
      </c>
      <c r="F87" s="11" t="s">
        <v>3957</v>
      </c>
      <c r="G87" s="11" t="s">
        <v>3958</v>
      </c>
      <c r="H87" s="11"/>
    </row>
    <row r="88" customFormat="false" ht="15" hidden="false" customHeight="false" outlineLevel="0" collapsed="false">
      <c r="A88" s="11" t="n">
        <v>111</v>
      </c>
      <c r="B88" s="16" t="n">
        <v>46357</v>
      </c>
      <c r="C88" s="11" t="s">
        <v>1249</v>
      </c>
      <c r="D88" s="11" t="n">
        <v>3</v>
      </c>
      <c r="E88" s="11" t="s">
        <v>3959</v>
      </c>
      <c r="F88" s="11" t="s">
        <v>3960</v>
      </c>
      <c r="G88" s="11" t="s">
        <v>3955</v>
      </c>
      <c r="H88" s="11"/>
    </row>
    <row r="89" customFormat="false" ht="15" hidden="false" customHeight="false" outlineLevel="0" collapsed="false">
      <c r="A89" s="11" t="n">
        <v>111</v>
      </c>
      <c r="B89" s="16" t="n">
        <v>46357</v>
      </c>
      <c r="C89" s="11" t="s">
        <v>1249</v>
      </c>
      <c r="D89" s="11" t="n">
        <v>4</v>
      </c>
      <c r="E89" s="11" t="s">
        <v>3961</v>
      </c>
      <c r="F89" s="11" t="s">
        <v>3962</v>
      </c>
      <c r="G89" s="11" t="s">
        <v>3958</v>
      </c>
      <c r="H89" s="11"/>
    </row>
    <row r="90" customFormat="false" ht="15" hidden="false" customHeight="false" outlineLevel="0" collapsed="false">
      <c r="A90" s="11" t="n">
        <v>111</v>
      </c>
      <c r="B90" s="16" t="n">
        <v>46357</v>
      </c>
      <c r="C90" s="11" t="s">
        <v>1249</v>
      </c>
      <c r="D90" s="11" t="n">
        <v>5</v>
      </c>
      <c r="E90" s="11" t="s">
        <v>3963</v>
      </c>
      <c r="F90" s="11" t="s">
        <v>3964</v>
      </c>
      <c r="G90" s="11" t="s">
        <v>3955</v>
      </c>
      <c r="H90" s="11"/>
    </row>
    <row r="91" customFormat="false" ht="23.85" hidden="false" customHeight="false" outlineLevel="0" collapsed="false">
      <c r="A91" s="11" t="n">
        <v>111</v>
      </c>
      <c r="B91" s="16" t="n">
        <v>46357</v>
      </c>
      <c r="C91" s="11" t="s">
        <v>1249</v>
      </c>
      <c r="D91" s="11" t="n">
        <v>6</v>
      </c>
      <c r="E91" s="11" t="s">
        <v>3965</v>
      </c>
      <c r="F91" s="11" t="s">
        <v>3953</v>
      </c>
      <c r="G91" s="11" t="s">
        <v>3803</v>
      </c>
      <c r="H91" s="11"/>
    </row>
    <row r="92" customFormat="false" ht="23.85" hidden="false" customHeight="false" outlineLevel="0" collapsed="false">
      <c r="A92" s="11" t="n">
        <v>115</v>
      </c>
      <c r="B92" s="16" t="n">
        <v>46359</v>
      </c>
      <c r="C92" s="11" t="s">
        <v>1125</v>
      </c>
      <c r="D92" s="11" t="n">
        <v>1</v>
      </c>
      <c r="E92" s="11" t="s">
        <v>1294</v>
      </c>
      <c r="F92" s="11" t="s">
        <v>3966</v>
      </c>
      <c r="G92" s="11" t="s">
        <v>3017</v>
      </c>
      <c r="H92" s="11" t="s">
        <v>1299</v>
      </c>
    </row>
    <row r="93" customFormat="false" ht="23.85" hidden="false" customHeight="false" outlineLevel="0" collapsed="false">
      <c r="A93" s="11" t="n">
        <v>115</v>
      </c>
      <c r="B93" s="16" t="n">
        <v>46359</v>
      </c>
      <c r="C93" s="11" t="s">
        <v>1125</v>
      </c>
      <c r="D93" s="11" t="n">
        <v>2</v>
      </c>
      <c r="E93" s="11" t="s">
        <v>3967</v>
      </c>
      <c r="F93" s="11" t="s">
        <v>3968</v>
      </c>
      <c r="G93" s="11" t="s">
        <v>3028</v>
      </c>
      <c r="H93" s="11"/>
    </row>
    <row r="94" customFormat="false" ht="23.85" hidden="false" customHeight="false" outlineLevel="0" collapsed="false">
      <c r="A94" s="11" t="n">
        <v>115</v>
      </c>
      <c r="B94" s="16" t="n">
        <v>46359</v>
      </c>
      <c r="C94" s="11" t="s">
        <v>1125</v>
      </c>
      <c r="D94" s="11" t="n">
        <v>3</v>
      </c>
      <c r="E94" s="11" t="s">
        <v>3969</v>
      </c>
      <c r="F94" s="11" t="s">
        <v>3970</v>
      </c>
      <c r="G94" s="11" t="s">
        <v>3017</v>
      </c>
      <c r="H94" s="11"/>
    </row>
    <row r="95" customFormat="false" ht="23.85" hidden="false" customHeight="false" outlineLevel="0" collapsed="false">
      <c r="A95" s="11" t="n">
        <v>115</v>
      </c>
      <c r="B95" s="16" t="n">
        <v>46359</v>
      </c>
      <c r="C95" s="11" t="s">
        <v>1125</v>
      </c>
      <c r="D95" s="11" t="n">
        <v>4</v>
      </c>
      <c r="E95" s="11" t="s">
        <v>3971</v>
      </c>
      <c r="F95" s="11" t="s">
        <v>3972</v>
      </c>
      <c r="G95" s="11" t="s">
        <v>3028</v>
      </c>
      <c r="H95" s="11"/>
    </row>
    <row r="96" customFormat="false" ht="23.85" hidden="false" customHeight="false" outlineLevel="0" collapsed="false">
      <c r="A96" s="11" t="n">
        <v>115</v>
      </c>
      <c r="B96" s="16" t="n">
        <v>46359</v>
      </c>
      <c r="C96" s="11" t="s">
        <v>1125</v>
      </c>
      <c r="D96" s="11" t="n">
        <v>5</v>
      </c>
      <c r="E96" s="11" t="s">
        <v>3973</v>
      </c>
      <c r="F96" s="11" t="s">
        <v>3974</v>
      </c>
      <c r="G96" s="11" t="s">
        <v>3017</v>
      </c>
      <c r="H96" s="11"/>
    </row>
    <row r="97" customFormat="false" ht="23.85" hidden="false" customHeight="false" outlineLevel="0" collapsed="false">
      <c r="A97" s="11" t="n">
        <v>115</v>
      </c>
      <c r="B97" s="16" t="n">
        <v>46359</v>
      </c>
      <c r="C97" s="11" t="s">
        <v>1125</v>
      </c>
      <c r="D97" s="11" t="n">
        <v>6</v>
      </c>
      <c r="E97" s="11" t="s">
        <v>3975</v>
      </c>
      <c r="F97" s="11" t="s">
        <v>3953</v>
      </c>
      <c r="G97" s="11" t="s">
        <v>3803</v>
      </c>
      <c r="H97" s="11"/>
    </row>
    <row r="98" customFormat="false" ht="23.85" hidden="false" customHeight="false" outlineLevel="0" collapsed="false">
      <c r="A98" s="11" t="n">
        <v>116</v>
      </c>
      <c r="B98" s="16" t="n">
        <v>46359</v>
      </c>
      <c r="C98" s="11" t="s">
        <v>1301</v>
      </c>
      <c r="D98" s="11" t="n">
        <v>1</v>
      </c>
      <c r="E98" s="11" t="s">
        <v>1303</v>
      </c>
      <c r="F98" s="11" t="s">
        <v>3976</v>
      </c>
      <c r="G98" s="11" t="s">
        <v>3977</v>
      </c>
      <c r="H98" s="11" t="s">
        <v>1309</v>
      </c>
    </row>
    <row r="99" customFormat="false" ht="15" hidden="false" customHeight="false" outlineLevel="0" collapsed="false">
      <c r="A99" s="11" t="n">
        <v>116</v>
      </c>
      <c r="B99" s="16" t="n">
        <v>46359</v>
      </c>
      <c r="C99" s="11" t="s">
        <v>1301</v>
      </c>
      <c r="D99" s="11" t="n">
        <v>2</v>
      </c>
      <c r="E99" s="11" t="s">
        <v>3978</v>
      </c>
      <c r="F99" s="11" t="s">
        <v>3979</v>
      </c>
      <c r="G99" s="11" t="s">
        <v>3980</v>
      </c>
      <c r="H99" s="11"/>
    </row>
    <row r="100" customFormat="false" ht="15" hidden="false" customHeight="false" outlineLevel="0" collapsed="false">
      <c r="A100" s="11" t="n">
        <v>116</v>
      </c>
      <c r="B100" s="16" t="n">
        <v>46359</v>
      </c>
      <c r="C100" s="11" t="s">
        <v>1301</v>
      </c>
      <c r="D100" s="11" t="n">
        <v>3</v>
      </c>
      <c r="E100" s="11" t="s">
        <v>3981</v>
      </c>
      <c r="F100" s="11" t="s">
        <v>3982</v>
      </c>
      <c r="G100" s="11" t="s">
        <v>3977</v>
      </c>
      <c r="H100" s="11"/>
    </row>
    <row r="101" customFormat="false" ht="15" hidden="false" customHeight="false" outlineLevel="0" collapsed="false">
      <c r="A101" s="11" t="n">
        <v>116</v>
      </c>
      <c r="B101" s="16" t="n">
        <v>46359</v>
      </c>
      <c r="C101" s="11" t="s">
        <v>1301</v>
      </c>
      <c r="D101" s="11" t="n">
        <v>4</v>
      </c>
      <c r="E101" s="11" t="s">
        <v>3983</v>
      </c>
      <c r="F101" s="11" t="s">
        <v>3984</v>
      </c>
      <c r="G101" s="11" t="s">
        <v>3980</v>
      </c>
      <c r="H101" s="11"/>
    </row>
    <row r="102" customFormat="false" ht="15" hidden="false" customHeight="false" outlineLevel="0" collapsed="false">
      <c r="A102" s="11" t="n">
        <v>116</v>
      </c>
      <c r="B102" s="16" t="n">
        <v>46359</v>
      </c>
      <c r="C102" s="11" t="s">
        <v>1301</v>
      </c>
      <c r="D102" s="11" t="n">
        <v>5</v>
      </c>
      <c r="E102" s="11" t="s">
        <v>3985</v>
      </c>
      <c r="F102" s="11" t="s">
        <v>3986</v>
      </c>
      <c r="G102" s="11" t="s">
        <v>3977</v>
      </c>
      <c r="H102" s="11"/>
    </row>
    <row r="103" customFormat="false" ht="23.85" hidden="false" customHeight="false" outlineLevel="0" collapsed="false">
      <c r="A103" s="11" t="n">
        <v>116</v>
      </c>
      <c r="B103" s="16" t="n">
        <v>46359</v>
      </c>
      <c r="C103" s="11" t="s">
        <v>1301</v>
      </c>
      <c r="D103" s="11" t="n">
        <v>6</v>
      </c>
      <c r="E103" s="11" t="s">
        <v>3987</v>
      </c>
      <c r="F103" s="11" t="s">
        <v>3988</v>
      </c>
      <c r="G103" s="11" t="s">
        <v>3803</v>
      </c>
      <c r="H103" s="11"/>
    </row>
    <row r="104" customFormat="false" ht="23.85" hidden="false" customHeight="false" outlineLevel="0" collapsed="false">
      <c r="A104" s="11" t="n">
        <v>125</v>
      </c>
      <c r="B104" s="16" t="n">
        <v>46364</v>
      </c>
      <c r="C104" s="11" t="s">
        <v>1398</v>
      </c>
      <c r="D104" s="11" t="n">
        <v>1</v>
      </c>
      <c r="E104" s="11" t="s">
        <v>1400</v>
      </c>
      <c r="F104" s="11" t="s">
        <v>3989</v>
      </c>
      <c r="G104" s="11" t="s">
        <v>3990</v>
      </c>
      <c r="H104" s="11" t="s">
        <v>1405</v>
      </c>
    </row>
    <row r="105" customFormat="false" ht="15" hidden="false" customHeight="false" outlineLevel="0" collapsed="false">
      <c r="A105" s="11" t="n">
        <v>125</v>
      </c>
      <c r="B105" s="16" t="n">
        <v>46364</v>
      </c>
      <c r="C105" s="11" t="s">
        <v>1398</v>
      </c>
      <c r="D105" s="11" t="n">
        <v>2</v>
      </c>
      <c r="E105" s="11" t="s">
        <v>3991</v>
      </c>
      <c r="F105" s="11" t="s">
        <v>3992</v>
      </c>
      <c r="G105" s="11" t="s">
        <v>3993</v>
      </c>
      <c r="H105" s="11"/>
    </row>
    <row r="106" customFormat="false" ht="15" hidden="false" customHeight="false" outlineLevel="0" collapsed="false">
      <c r="A106" s="11" t="n">
        <v>125</v>
      </c>
      <c r="B106" s="16" t="n">
        <v>46364</v>
      </c>
      <c r="C106" s="11" t="s">
        <v>1398</v>
      </c>
      <c r="D106" s="11" t="n">
        <v>3</v>
      </c>
      <c r="E106" s="11" t="s">
        <v>3994</v>
      </c>
      <c r="F106" s="11" t="s">
        <v>3995</v>
      </c>
      <c r="G106" s="11" t="s">
        <v>3990</v>
      </c>
      <c r="H106" s="11"/>
    </row>
    <row r="107" customFormat="false" ht="15" hidden="false" customHeight="false" outlineLevel="0" collapsed="false">
      <c r="A107" s="11" t="n">
        <v>125</v>
      </c>
      <c r="B107" s="16" t="n">
        <v>46364</v>
      </c>
      <c r="C107" s="11" t="s">
        <v>1398</v>
      </c>
      <c r="D107" s="11" t="n">
        <v>4</v>
      </c>
      <c r="E107" s="11" t="s">
        <v>3996</v>
      </c>
      <c r="F107" s="11" t="s">
        <v>3997</v>
      </c>
      <c r="G107" s="11" t="s">
        <v>3993</v>
      </c>
      <c r="H107" s="11"/>
    </row>
    <row r="108" customFormat="false" ht="15" hidden="false" customHeight="false" outlineLevel="0" collapsed="false">
      <c r="A108" s="11" t="n">
        <v>125</v>
      </c>
      <c r="B108" s="16" t="n">
        <v>46364</v>
      </c>
      <c r="C108" s="11" t="s">
        <v>1398</v>
      </c>
      <c r="D108" s="11" t="n">
        <v>5</v>
      </c>
      <c r="E108" s="11" t="s">
        <v>3998</v>
      </c>
      <c r="F108" s="11" t="s">
        <v>3846</v>
      </c>
      <c r="G108" s="11" t="s">
        <v>3990</v>
      </c>
      <c r="H108" s="11"/>
    </row>
    <row r="109" customFormat="false" ht="23.85" hidden="false" customHeight="false" outlineLevel="0" collapsed="false">
      <c r="A109" s="11" t="n">
        <v>125</v>
      </c>
      <c r="B109" s="16" t="n">
        <v>46364</v>
      </c>
      <c r="C109" s="11" t="s">
        <v>1398</v>
      </c>
      <c r="D109" s="11" t="n">
        <v>6</v>
      </c>
      <c r="E109" s="11" t="s">
        <v>3999</v>
      </c>
      <c r="F109" s="11" t="s">
        <v>4000</v>
      </c>
      <c r="G109" s="11" t="s">
        <v>3803</v>
      </c>
      <c r="H109" s="11"/>
    </row>
    <row r="110" customFormat="false" ht="23.85" hidden="false" customHeight="false" outlineLevel="0" collapsed="false">
      <c r="A110" s="11" t="n">
        <v>135</v>
      </c>
      <c r="B110" s="16" t="n">
        <v>46369</v>
      </c>
      <c r="C110" s="11" t="s">
        <v>1506</v>
      </c>
      <c r="D110" s="11" t="n">
        <v>1</v>
      </c>
      <c r="E110" s="11" t="s">
        <v>1508</v>
      </c>
      <c r="F110" s="11" t="s">
        <v>4001</v>
      </c>
      <c r="G110" s="11" t="s">
        <v>4002</v>
      </c>
      <c r="H110" s="11" t="s">
        <v>1513</v>
      </c>
    </row>
    <row r="111" customFormat="false" ht="15" hidden="false" customHeight="false" outlineLevel="0" collapsed="false">
      <c r="A111" s="11" t="n">
        <v>135</v>
      </c>
      <c r="B111" s="16" t="n">
        <v>46369</v>
      </c>
      <c r="C111" s="11" t="s">
        <v>1506</v>
      </c>
      <c r="D111" s="11" t="n">
        <v>2</v>
      </c>
      <c r="E111" s="11" t="s">
        <v>4003</v>
      </c>
      <c r="F111" s="11" t="s">
        <v>4004</v>
      </c>
      <c r="G111" s="11" t="s">
        <v>4005</v>
      </c>
      <c r="H111" s="11"/>
    </row>
    <row r="112" customFormat="false" ht="15" hidden="false" customHeight="false" outlineLevel="0" collapsed="false">
      <c r="A112" s="11" t="n">
        <v>135</v>
      </c>
      <c r="B112" s="16" t="n">
        <v>46369</v>
      </c>
      <c r="C112" s="11" t="s">
        <v>1506</v>
      </c>
      <c r="D112" s="11" t="n">
        <v>3</v>
      </c>
      <c r="E112" s="11" t="s">
        <v>4006</v>
      </c>
      <c r="F112" s="11" t="s">
        <v>4007</v>
      </c>
      <c r="G112" s="11" t="s">
        <v>4002</v>
      </c>
      <c r="H112" s="11"/>
    </row>
    <row r="113" customFormat="false" ht="15" hidden="false" customHeight="false" outlineLevel="0" collapsed="false">
      <c r="A113" s="11" t="n">
        <v>135</v>
      </c>
      <c r="B113" s="16" t="n">
        <v>46369</v>
      </c>
      <c r="C113" s="11" t="s">
        <v>1506</v>
      </c>
      <c r="D113" s="11" t="n">
        <v>4</v>
      </c>
      <c r="E113" s="11" t="s">
        <v>4008</v>
      </c>
      <c r="F113" s="11" t="s">
        <v>4009</v>
      </c>
      <c r="G113" s="11" t="s">
        <v>4005</v>
      </c>
      <c r="H113" s="11"/>
    </row>
    <row r="114" customFormat="false" ht="15" hidden="false" customHeight="false" outlineLevel="0" collapsed="false">
      <c r="A114" s="11" t="n">
        <v>135</v>
      </c>
      <c r="B114" s="16" t="n">
        <v>46369</v>
      </c>
      <c r="C114" s="11" t="s">
        <v>1506</v>
      </c>
      <c r="D114" s="11" t="n">
        <v>5</v>
      </c>
      <c r="E114" s="11" t="s">
        <v>4010</v>
      </c>
      <c r="F114" s="11" t="s">
        <v>4011</v>
      </c>
      <c r="G114" s="11" t="s">
        <v>4002</v>
      </c>
      <c r="H114" s="11"/>
    </row>
    <row r="115" customFormat="false" ht="23.85" hidden="false" customHeight="false" outlineLevel="0" collapsed="false">
      <c r="A115" s="11" t="n">
        <v>135</v>
      </c>
      <c r="B115" s="16" t="n">
        <v>46369</v>
      </c>
      <c r="C115" s="11" t="s">
        <v>1506</v>
      </c>
      <c r="D115" s="11" t="n">
        <v>6</v>
      </c>
      <c r="E115" s="11" t="s">
        <v>4012</v>
      </c>
      <c r="F115" s="11" t="s">
        <v>4013</v>
      </c>
      <c r="G115" s="11" t="s">
        <v>3803</v>
      </c>
      <c r="H115" s="11"/>
    </row>
    <row r="116" customFormat="false" ht="35.05" hidden="false" customHeight="false" outlineLevel="0" collapsed="false">
      <c r="A116" s="11" t="n">
        <v>145</v>
      </c>
      <c r="B116" s="16" t="n">
        <v>46374</v>
      </c>
      <c r="C116" s="11" t="s">
        <v>1613</v>
      </c>
      <c r="D116" s="11" t="n">
        <v>1</v>
      </c>
      <c r="E116" s="11" t="s">
        <v>1615</v>
      </c>
      <c r="F116" s="11" t="s">
        <v>4014</v>
      </c>
      <c r="G116" s="11" t="s">
        <v>4015</v>
      </c>
      <c r="H116" s="11" t="s">
        <v>1621</v>
      </c>
    </row>
    <row r="117" customFormat="false" ht="15" hidden="false" customHeight="false" outlineLevel="0" collapsed="false">
      <c r="A117" s="11" t="n">
        <v>145</v>
      </c>
      <c r="B117" s="16" t="n">
        <v>46374</v>
      </c>
      <c r="C117" s="11" t="s">
        <v>1613</v>
      </c>
      <c r="D117" s="11" t="n">
        <v>2</v>
      </c>
      <c r="E117" s="11" t="s">
        <v>4016</v>
      </c>
      <c r="F117" s="11" t="s">
        <v>4017</v>
      </c>
      <c r="G117" s="11" t="s">
        <v>4018</v>
      </c>
      <c r="H117" s="11"/>
    </row>
    <row r="118" customFormat="false" ht="15" hidden="false" customHeight="false" outlineLevel="0" collapsed="false">
      <c r="A118" s="11" t="n">
        <v>145</v>
      </c>
      <c r="B118" s="16" t="n">
        <v>46374</v>
      </c>
      <c r="C118" s="11" t="s">
        <v>1613</v>
      </c>
      <c r="D118" s="11" t="n">
        <v>3</v>
      </c>
      <c r="E118" s="11" t="s">
        <v>4019</v>
      </c>
      <c r="F118" s="11" t="s">
        <v>4020</v>
      </c>
      <c r="G118" s="11" t="s">
        <v>4015</v>
      </c>
      <c r="H118" s="11"/>
    </row>
    <row r="119" customFormat="false" ht="15" hidden="false" customHeight="false" outlineLevel="0" collapsed="false">
      <c r="A119" s="11" t="n">
        <v>145</v>
      </c>
      <c r="B119" s="16" t="n">
        <v>46374</v>
      </c>
      <c r="C119" s="11" t="s">
        <v>1613</v>
      </c>
      <c r="D119" s="11" t="n">
        <v>4</v>
      </c>
      <c r="E119" s="11" t="s">
        <v>4021</v>
      </c>
      <c r="F119" s="11" t="s">
        <v>4022</v>
      </c>
      <c r="G119" s="11" t="s">
        <v>4018</v>
      </c>
      <c r="H119" s="11"/>
    </row>
    <row r="120" customFormat="false" ht="15" hidden="false" customHeight="false" outlineLevel="0" collapsed="false">
      <c r="A120" s="11" t="n">
        <v>145</v>
      </c>
      <c r="B120" s="16" t="n">
        <v>46374</v>
      </c>
      <c r="C120" s="11" t="s">
        <v>1613</v>
      </c>
      <c r="D120" s="11" t="n">
        <v>5</v>
      </c>
      <c r="E120" s="11" t="s">
        <v>4023</v>
      </c>
      <c r="F120" s="11" t="s">
        <v>4024</v>
      </c>
      <c r="G120" s="11" t="s">
        <v>4015</v>
      </c>
      <c r="H120" s="11"/>
    </row>
    <row r="121" customFormat="false" ht="23.85" hidden="false" customHeight="false" outlineLevel="0" collapsed="false">
      <c r="A121" s="11" t="n">
        <v>145</v>
      </c>
      <c r="B121" s="16" t="n">
        <v>46374</v>
      </c>
      <c r="C121" s="11" t="s">
        <v>1613</v>
      </c>
      <c r="D121" s="11" t="n">
        <v>6</v>
      </c>
      <c r="E121" s="11" t="s">
        <v>4025</v>
      </c>
      <c r="F121" s="11" t="s">
        <v>4026</v>
      </c>
      <c r="G121" s="11" t="s">
        <v>3803</v>
      </c>
      <c r="H121" s="11"/>
    </row>
    <row r="122" customFormat="false" ht="23.85" hidden="false" customHeight="false" outlineLevel="0" collapsed="false">
      <c r="A122" s="11" t="n">
        <v>157</v>
      </c>
      <c r="B122" s="16" t="n">
        <v>46380</v>
      </c>
      <c r="C122" s="11" t="s">
        <v>1570</v>
      </c>
      <c r="D122" s="11" t="n">
        <v>1</v>
      </c>
      <c r="E122" s="11" t="s">
        <v>1744</v>
      </c>
      <c r="F122" s="11" t="s">
        <v>4027</v>
      </c>
      <c r="G122" s="11" t="s">
        <v>4028</v>
      </c>
      <c r="H122" s="11" t="s">
        <v>1750</v>
      </c>
    </row>
    <row r="123" customFormat="false" ht="15" hidden="false" customHeight="false" outlineLevel="0" collapsed="false">
      <c r="A123" s="11" t="n">
        <v>157</v>
      </c>
      <c r="B123" s="16" t="n">
        <v>46380</v>
      </c>
      <c r="C123" s="11" t="s">
        <v>1570</v>
      </c>
      <c r="D123" s="11" t="n">
        <v>2</v>
      </c>
      <c r="E123" s="11" t="s">
        <v>4029</v>
      </c>
      <c r="F123" s="11" t="s">
        <v>4030</v>
      </c>
      <c r="G123" s="11" t="s">
        <v>4031</v>
      </c>
      <c r="H123" s="11"/>
    </row>
    <row r="124" customFormat="false" ht="15" hidden="false" customHeight="false" outlineLevel="0" collapsed="false">
      <c r="A124" s="11" t="n">
        <v>157</v>
      </c>
      <c r="B124" s="16" t="n">
        <v>46380</v>
      </c>
      <c r="C124" s="11" t="s">
        <v>1570</v>
      </c>
      <c r="D124" s="11" t="n">
        <v>3</v>
      </c>
      <c r="E124" s="11" t="s">
        <v>4032</v>
      </c>
      <c r="F124" s="11" t="s">
        <v>4033</v>
      </c>
      <c r="G124" s="11" t="s">
        <v>4028</v>
      </c>
      <c r="H124" s="11"/>
    </row>
    <row r="125" customFormat="false" ht="15" hidden="false" customHeight="false" outlineLevel="0" collapsed="false">
      <c r="A125" s="11" t="n">
        <v>157</v>
      </c>
      <c r="B125" s="16" t="n">
        <v>46380</v>
      </c>
      <c r="C125" s="11" t="s">
        <v>1570</v>
      </c>
      <c r="D125" s="11" t="n">
        <v>4</v>
      </c>
      <c r="E125" s="11" t="s">
        <v>4034</v>
      </c>
      <c r="F125" s="11" t="s">
        <v>4035</v>
      </c>
      <c r="G125" s="11" t="s">
        <v>4031</v>
      </c>
      <c r="H125" s="11"/>
    </row>
    <row r="126" customFormat="false" ht="15" hidden="false" customHeight="false" outlineLevel="0" collapsed="false">
      <c r="A126" s="11" t="n">
        <v>157</v>
      </c>
      <c r="B126" s="16" t="n">
        <v>46380</v>
      </c>
      <c r="C126" s="11" t="s">
        <v>1570</v>
      </c>
      <c r="D126" s="11" t="n">
        <v>5</v>
      </c>
      <c r="E126" s="11" t="s">
        <v>4036</v>
      </c>
      <c r="F126" s="11" t="s">
        <v>4037</v>
      </c>
      <c r="G126" s="11" t="s">
        <v>4028</v>
      </c>
      <c r="H126" s="11"/>
    </row>
    <row r="127" customFormat="false" ht="23.85" hidden="false" customHeight="false" outlineLevel="0" collapsed="false">
      <c r="A127" s="11" t="n">
        <v>157</v>
      </c>
      <c r="B127" s="16" t="n">
        <v>46380</v>
      </c>
      <c r="C127" s="11" t="s">
        <v>1570</v>
      </c>
      <c r="D127" s="11" t="n">
        <v>6</v>
      </c>
      <c r="E127" s="11" t="s">
        <v>4038</v>
      </c>
      <c r="F127" s="11" t="s">
        <v>4039</v>
      </c>
      <c r="G127" s="11" t="s">
        <v>3803</v>
      </c>
      <c r="H127" s="11"/>
    </row>
    <row r="128" customFormat="false" ht="23.85" hidden="false" customHeight="false" outlineLevel="0" collapsed="false">
      <c r="A128" s="11" t="n">
        <v>160</v>
      </c>
      <c r="B128" s="16" t="n">
        <v>46381</v>
      </c>
      <c r="C128" s="11" t="s">
        <v>1775</v>
      </c>
      <c r="D128" s="11" t="n">
        <v>1</v>
      </c>
      <c r="E128" s="11" t="s">
        <v>1777</v>
      </c>
      <c r="F128" s="11" t="s">
        <v>4040</v>
      </c>
      <c r="G128" s="11" t="s">
        <v>4041</v>
      </c>
      <c r="H128" s="11" t="s">
        <v>1783</v>
      </c>
    </row>
    <row r="129" customFormat="false" ht="15" hidden="false" customHeight="false" outlineLevel="0" collapsed="false">
      <c r="A129" s="11" t="n">
        <v>160</v>
      </c>
      <c r="B129" s="16" t="n">
        <v>46381</v>
      </c>
      <c r="C129" s="11" t="s">
        <v>1775</v>
      </c>
      <c r="D129" s="11" t="n">
        <v>2</v>
      </c>
      <c r="E129" s="11" t="s">
        <v>4042</v>
      </c>
      <c r="F129" s="11" t="s">
        <v>4043</v>
      </c>
      <c r="G129" s="11" t="s">
        <v>4044</v>
      </c>
      <c r="H129" s="11"/>
    </row>
    <row r="130" customFormat="false" ht="15" hidden="false" customHeight="false" outlineLevel="0" collapsed="false">
      <c r="A130" s="11" t="n">
        <v>160</v>
      </c>
      <c r="B130" s="16" t="n">
        <v>46381</v>
      </c>
      <c r="C130" s="11" t="s">
        <v>1775</v>
      </c>
      <c r="D130" s="11" t="n">
        <v>3</v>
      </c>
      <c r="E130" s="11" t="s">
        <v>4045</v>
      </c>
      <c r="F130" s="11" t="s">
        <v>4046</v>
      </c>
      <c r="G130" s="11" t="s">
        <v>4041</v>
      </c>
      <c r="H130" s="11"/>
    </row>
    <row r="131" customFormat="false" ht="15" hidden="false" customHeight="false" outlineLevel="0" collapsed="false">
      <c r="A131" s="11" t="n">
        <v>160</v>
      </c>
      <c r="B131" s="16" t="n">
        <v>46381</v>
      </c>
      <c r="C131" s="11" t="s">
        <v>1775</v>
      </c>
      <c r="D131" s="11" t="n">
        <v>4</v>
      </c>
      <c r="E131" s="11" t="s">
        <v>4047</v>
      </c>
      <c r="F131" s="11" t="s">
        <v>4048</v>
      </c>
      <c r="G131" s="11" t="s">
        <v>4044</v>
      </c>
      <c r="H131" s="11"/>
    </row>
    <row r="132" customFormat="false" ht="15" hidden="false" customHeight="false" outlineLevel="0" collapsed="false">
      <c r="A132" s="11" t="n">
        <v>160</v>
      </c>
      <c r="B132" s="16" t="n">
        <v>46381</v>
      </c>
      <c r="C132" s="11" t="s">
        <v>1775</v>
      </c>
      <c r="D132" s="11" t="n">
        <v>5</v>
      </c>
      <c r="E132" s="11" t="s">
        <v>4049</v>
      </c>
      <c r="F132" s="11" t="s">
        <v>4050</v>
      </c>
      <c r="G132" s="11" t="s">
        <v>4041</v>
      </c>
      <c r="H132" s="11"/>
    </row>
    <row r="133" customFormat="false" ht="23.85" hidden="false" customHeight="false" outlineLevel="0" collapsed="false">
      <c r="A133" s="11" t="n">
        <v>160</v>
      </c>
      <c r="B133" s="16" t="n">
        <v>46381</v>
      </c>
      <c r="C133" s="11" t="s">
        <v>1775</v>
      </c>
      <c r="D133" s="11" t="n">
        <v>6</v>
      </c>
      <c r="E133" s="11" t="s">
        <v>4051</v>
      </c>
      <c r="F133" s="11" t="s">
        <v>4039</v>
      </c>
      <c r="G133" s="11" t="s">
        <v>3803</v>
      </c>
      <c r="H133" s="11"/>
    </row>
    <row r="134" customFormat="false" ht="23.85" hidden="false" customHeight="false" outlineLevel="0" collapsed="false">
      <c r="A134" s="11" t="n">
        <v>169</v>
      </c>
      <c r="B134" s="16" t="n">
        <v>46386</v>
      </c>
      <c r="C134" s="11" t="s">
        <v>1870</v>
      </c>
      <c r="D134" s="11" t="n">
        <v>1</v>
      </c>
      <c r="E134" s="11" t="s">
        <v>1872</v>
      </c>
      <c r="F134" s="11" t="s">
        <v>4052</v>
      </c>
      <c r="G134" s="11" t="s">
        <v>4053</v>
      </c>
      <c r="H134" s="11" t="s">
        <v>1877</v>
      </c>
    </row>
    <row r="135" customFormat="false" ht="15" hidden="false" customHeight="false" outlineLevel="0" collapsed="false">
      <c r="A135" s="11" t="n">
        <v>169</v>
      </c>
      <c r="B135" s="16" t="n">
        <v>46386</v>
      </c>
      <c r="C135" s="11" t="s">
        <v>1870</v>
      </c>
      <c r="D135" s="11" t="n">
        <v>2</v>
      </c>
      <c r="E135" s="11" t="s">
        <v>4054</v>
      </c>
      <c r="F135" s="11" t="s">
        <v>4055</v>
      </c>
      <c r="G135" s="11" t="s">
        <v>4056</v>
      </c>
      <c r="H135" s="11"/>
    </row>
    <row r="136" customFormat="false" ht="15" hidden="false" customHeight="false" outlineLevel="0" collapsed="false">
      <c r="A136" s="11" t="n">
        <v>169</v>
      </c>
      <c r="B136" s="16" t="n">
        <v>46386</v>
      </c>
      <c r="C136" s="11" t="s">
        <v>1870</v>
      </c>
      <c r="D136" s="11" t="n">
        <v>3</v>
      </c>
      <c r="E136" s="11" t="s">
        <v>4057</v>
      </c>
      <c r="F136" s="11" t="s">
        <v>4058</v>
      </c>
      <c r="G136" s="11" t="s">
        <v>4053</v>
      </c>
      <c r="H136" s="11"/>
    </row>
    <row r="137" customFormat="false" ht="15" hidden="false" customHeight="false" outlineLevel="0" collapsed="false">
      <c r="A137" s="11" t="n">
        <v>169</v>
      </c>
      <c r="B137" s="16" t="n">
        <v>46386</v>
      </c>
      <c r="C137" s="11" t="s">
        <v>1870</v>
      </c>
      <c r="D137" s="11" t="n">
        <v>4</v>
      </c>
      <c r="E137" s="11" t="s">
        <v>4059</v>
      </c>
      <c r="F137" s="11" t="s">
        <v>4060</v>
      </c>
      <c r="G137" s="11" t="s">
        <v>4056</v>
      </c>
      <c r="H137" s="11"/>
    </row>
    <row r="138" customFormat="false" ht="15" hidden="false" customHeight="false" outlineLevel="0" collapsed="false">
      <c r="A138" s="11" t="n">
        <v>169</v>
      </c>
      <c r="B138" s="16" t="n">
        <v>46386</v>
      </c>
      <c r="C138" s="11" t="s">
        <v>1870</v>
      </c>
      <c r="D138" s="11" t="n">
        <v>5</v>
      </c>
      <c r="E138" s="11" t="s">
        <v>4061</v>
      </c>
      <c r="F138" s="11" t="s">
        <v>4062</v>
      </c>
      <c r="G138" s="11" t="s">
        <v>4053</v>
      </c>
      <c r="H138" s="11"/>
    </row>
    <row r="139" customFormat="false" ht="23.85" hidden="false" customHeight="false" outlineLevel="0" collapsed="false">
      <c r="A139" s="11" t="n">
        <v>169</v>
      </c>
      <c r="B139" s="16" t="n">
        <v>46386</v>
      </c>
      <c r="C139" s="11" t="s">
        <v>1870</v>
      </c>
      <c r="D139" s="11" t="n">
        <v>6</v>
      </c>
      <c r="E139" s="11" t="s">
        <v>4063</v>
      </c>
      <c r="F139" s="11" t="s">
        <v>4039</v>
      </c>
      <c r="G139" s="11" t="s">
        <v>3803</v>
      </c>
      <c r="H139" s="11"/>
    </row>
    <row r="140" customFormat="false" ht="23.85" hidden="false" customHeight="false" outlineLevel="0" collapsed="false">
      <c r="A140" s="11" t="n">
        <v>170</v>
      </c>
      <c r="B140" s="16" t="n">
        <v>46386</v>
      </c>
      <c r="C140" s="11" t="s">
        <v>1689</v>
      </c>
      <c r="D140" s="11" t="n">
        <v>1</v>
      </c>
      <c r="E140" s="11" t="s">
        <v>1882</v>
      </c>
      <c r="F140" s="11" t="s">
        <v>4064</v>
      </c>
      <c r="G140" s="11" t="s">
        <v>3421</v>
      </c>
      <c r="H140" s="11" t="s">
        <v>1888</v>
      </c>
    </row>
    <row r="141" customFormat="false" ht="15" hidden="false" customHeight="false" outlineLevel="0" collapsed="false">
      <c r="A141" s="11" t="n">
        <v>170</v>
      </c>
      <c r="B141" s="16" t="n">
        <v>46386</v>
      </c>
      <c r="C141" s="11" t="s">
        <v>1689</v>
      </c>
      <c r="D141" s="11" t="n">
        <v>2</v>
      </c>
      <c r="E141" s="11" t="s">
        <v>3807</v>
      </c>
      <c r="F141" s="11" t="s">
        <v>4065</v>
      </c>
      <c r="G141" s="11" t="s">
        <v>3429</v>
      </c>
      <c r="H141" s="11"/>
    </row>
    <row r="142" customFormat="false" ht="15" hidden="false" customHeight="false" outlineLevel="0" collapsed="false">
      <c r="A142" s="11" t="n">
        <v>170</v>
      </c>
      <c r="B142" s="16" t="n">
        <v>46386</v>
      </c>
      <c r="C142" s="11" t="s">
        <v>1689</v>
      </c>
      <c r="D142" s="11" t="n">
        <v>3</v>
      </c>
      <c r="E142" s="11" t="s">
        <v>4066</v>
      </c>
      <c r="F142" s="11" t="s">
        <v>4067</v>
      </c>
      <c r="G142" s="11" t="s">
        <v>3421</v>
      </c>
      <c r="H142" s="11"/>
    </row>
    <row r="143" customFormat="false" ht="15" hidden="false" customHeight="false" outlineLevel="0" collapsed="false">
      <c r="A143" s="11" t="n">
        <v>170</v>
      </c>
      <c r="B143" s="16" t="n">
        <v>46386</v>
      </c>
      <c r="C143" s="11" t="s">
        <v>1689</v>
      </c>
      <c r="D143" s="11" t="n">
        <v>4</v>
      </c>
      <c r="E143" s="11" t="s">
        <v>4068</v>
      </c>
      <c r="F143" s="11" t="s">
        <v>4069</v>
      </c>
      <c r="G143" s="11" t="s">
        <v>3429</v>
      </c>
      <c r="H143" s="11"/>
    </row>
    <row r="144" customFormat="false" ht="15" hidden="false" customHeight="false" outlineLevel="0" collapsed="false">
      <c r="A144" s="11" t="n">
        <v>170</v>
      </c>
      <c r="B144" s="16" t="n">
        <v>46386</v>
      </c>
      <c r="C144" s="11" t="s">
        <v>1689</v>
      </c>
      <c r="D144" s="11" t="n">
        <v>5</v>
      </c>
      <c r="E144" s="11" t="s">
        <v>4070</v>
      </c>
      <c r="F144" s="11" t="s">
        <v>4071</v>
      </c>
      <c r="G144" s="11" t="s">
        <v>3421</v>
      </c>
      <c r="H144" s="11"/>
    </row>
    <row r="145" customFormat="false" ht="23.85" hidden="false" customHeight="false" outlineLevel="0" collapsed="false">
      <c r="A145" s="11" t="n">
        <v>170</v>
      </c>
      <c r="B145" s="16" t="n">
        <v>46386</v>
      </c>
      <c r="C145" s="11" t="s">
        <v>1689</v>
      </c>
      <c r="D145" s="11" t="n">
        <v>6</v>
      </c>
      <c r="E145" s="11" t="s">
        <v>4072</v>
      </c>
      <c r="F145" s="11" t="s">
        <v>4073</v>
      </c>
      <c r="G145" s="11" t="s">
        <v>3803</v>
      </c>
      <c r="H145" s="11"/>
    </row>
    <row r="146" customFormat="false" ht="23.85" hidden="false" customHeight="false" outlineLevel="0" collapsed="false">
      <c r="A146" s="11" t="n">
        <v>184</v>
      </c>
      <c r="B146" s="16" t="n">
        <v>46393</v>
      </c>
      <c r="C146" s="11" t="s">
        <v>2031</v>
      </c>
      <c r="D146" s="11" t="n">
        <v>1</v>
      </c>
      <c r="E146" s="11" t="s">
        <v>2033</v>
      </c>
      <c r="F146" s="11" t="s">
        <v>4074</v>
      </c>
      <c r="G146" s="11" t="s">
        <v>4075</v>
      </c>
      <c r="H146" s="11" t="s">
        <v>2039</v>
      </c>
    </row>
    <row r="147" customFormat="false" ht="15" hidden="false" customHeight="false" outlineLevel="0" collapsed="false">
      <c r="A147" s="11" t="n">
        <v>184</v>
      </c>
      <c r="B147" s="16" t="n">
        <v>46393</v>
      </c>
      <c r="C147" s="11" t="s">
        <v>2031</v>
      </c>
      <c r="D147" s="11" t="n">
        <v>2</v>
      </c>
      <c r="E147" s="11" t="s">
        <v>4076</v>
      </c>
      <c r="F147" s="11" t="s">
        <v>4077</v>
      </c>
      <c r="G147" s="11" t="s">
        <v>4078</v>
      </c>
      <c r="H147" s="11"/>
    </row>
    <row r="148" customFormat="false" ht="15" hidden="false" customHeight="false" outlineLevel="0" collapsed="false">
      <c r="A148" s="11" t="n">
        <v>184</v>
      </c>
      <c r="B148" s="16" t="n">
        <v>46393</v>
      </c>
      <c r="C148" s="11" t="s">
        <v>2031</v>
      </c>
      <c r="D148" s="11" t="n">
        <v>3</v>
      </c>
      <c r="E148" s="11" t="s">
        <v>4079</v>
      </c>
      <c r="F148" s="11" t="s">
        <v>4080</v>
      </c>
      <c r="G148" s="11" t="s">
        <v>4075</v>
      </c>
      <c r="H148" s="11"/>
    </row>
    <row r="149" customFormat="false" ht="15" hidden="false" customHeight="false" outlineLevel="0" collapsed="false">
      <c r="A149" s="11" t="n">
        <v>184</v>
      </c>
      <c r="B149" s="16" t="n">
        <v>46393</v>
      </c>
      <c r="C149" s="11" t="s">
        <v>2031</v>
      </c>
      <c r="D149" s="11" t="n">
        <v>4</v>
      </c>
      <c r="E149" s="11" t="s">
        <v>4081</v>
      </c>
      <c r="F149" s="11" t="s">
        <v>4082</v>
      </c>
      <c r="G149" s="11" t="s">
        <v>4078</v>
      </c>
      <c r="H149" s="11"/>
    </row>
    <row r="150" customFormat="false" ht="15" hidden="false" customHeight="false" outlineLevel="0" collapsed="false">
      <c r="A150" s="11" t="n">
        <v>184</v>
      </c>
      <c r="B150" s="16" t="n">
        <v>46393</v>
      </c>
      <c r="C150" s="11" t="s">
        <v>2031</v>
      </c>
      <c r="D150" s="11" t="n">
        <v>5</v>
      </c>
      <c r="E150" s="11" t="s">
        <v>4083</v>
      </c>
      <c r="F150" s="11" t="s">
        <v>4084</v>
      </c>
      <c r="G150" s="11" t="s">
        <v>4075</v>
      </c>
      <c r="H150" s="11"/>
    </row>
    <row r="151" customFormat="false" ht="23.85" hidden="false" customHeight="false" outlineLevel="0" collapsed="false">
      <c r="A151" s="11" t="n">
        <v>184</v>
      </c>
      <c r="B151" s="16" t="n">
        <v>46393</v>
      </c>
      <c r="C151" s="11" t="s">
        <v>2031</v>
      </c>
      <c r="D151" s="11" t="n">
        <v>6</v>
      </c>
      <c r="E151" s="11" t="s">
        <v>4085</v>
      </c>
      <c r="F151" s="11" t="s">
        <v>4086</v>
      </c>
      <c r="G151" s="11" t="s">
        <v>3803</v>
      </c>
      <c r="H151" s="11"/>
    </row>
    <row r="152" customFormat="false" ht="23.85" hidden="false" customHeight="false" outlineLevel="0" collapsed="false">
      <c r="A152" s="11" t="n">
        <v>191</v>
      </c>
      <c r="B152" s="16" t="n">
        <v>46397</v>
      </c>
      <c r="C152" s="11" t="s">
        <v>2105</v>
      </c>
      <c r="D152" s="11" t="n">
        <v>1</v>
      </c>
      <c r="E152" s="11" t="s">
        <v>2107</v>
      </c>
      <c r="F152" s="11" t="s">
        <v>4087</v>
      </c>
      <c r="G152" s="11" t="s">
        <v>4088</v>
      </c>
      <c r="H152" s="11" t="s">
        <v>2112</v>
      </c>
    </row>
    <row r="153" customFormat="false" ht="15" hidden="false" customHeight="false" outlineLevel="0" collapsed="false">
      <c r="A153" s="11" t="n">
        <v>191</v>
      </c>
      <c r="B153" s="16" t="n">
        <v>46397</v>
      </c>
      <c r="C153" s="11" t="s">
        <v>2105</v>
      </c>
      <c r="D153" s="11" t="n">
        <v>2</v>
      </c>
      <c r="E153" s="11" t="s">
        <v>4089</v>
      </c>
      <c r="F153" s="11" t="s">
        <v>4090</v>
      </c>
      <c r="G153" s="11" t="s">
        <v>4091</v>
      </c>
      <c r="H153" s="11"/>
    </row>
    <row r="154" customFormat="false" ht="15" hidden="false" customHeight="false" outlineLevel="0" collapsed="false">
      <c r="A154" s="11" t="n">
        <v>191</v>
      </c>
      <c r="B154" s="16" t="n">
        <v>46397</v>
      </c>
      <c r="C154" s="11" t="s">
        <v>2105</v>
      </c>
      <c r="D154" s="11" t="n">
        <v>3</v>
      </c>
      <c r="E154" s="11" t="s">
        <v>4092</v>
      </c>
      <c r="F154" s="11" t="s">
        <v>4093</v>
      </c>
      <c r="G154" s="11" t="s">
        <v>4088</v>
      </c>
      <c r="H154" s="11"/>
    </row>
    <row r="155" customFormat="false" ht="15" hidden="false" customHeight="false" outlineLevel="0" collapsed="false">
      <c r="A155" s="11" t="n">
        <v>191</v>
      </c>
      <c r="B155" s="16" t="n">
        <v>46397</v>
      </c>
      <c r="C155" s="11" t="s">
        <v>2105</v>
      </c>
      <c r="D155" s="11" t="n">
        <v>4</v>
      </c>
      <c r="E155" s="11" t="s">
        <v>4094</v>
      </c>
      <c r="F155" s="11" t="s">
        <v>4095</v>
      </c>
      <c r="G155" s="11" t="s">
        <v>4091</v>
      </c>
      <c r="H155" s="11"/>
    </row>
    <row r="156" customFormat="false" ht="15" hidden="false" customHeight="false" outlineLevel="0" collapsed="false">
      <c r="A156" s="11" t="n">
        <v>191</v>
      </c>
      <c r="B156" s="16" t="n">
        <v>46397</v>
      </c>
      <c r="C156" s="11" t="s">
        <v>2105</v>
      </c>
      <c r="D156" s="11" t="n">
        <v>5</v>
      </c>
      <c r="E156" s="11" t="s">
        <v>4096</v>
      </c>
      <c r="F156" s="11" t="s">
        <v>4097</v>
      </c>
      <c r="G156" s="11" t="s">
        <v>4088</v>
      </c>
      <c r="H156" s="11"/>
    </row>
    <row r="157" customFormat="false" ht="23.85" hidden="false" customHeight="false" outlineLevel="0" collapsed="false">
      <c r="A157" s="11" t="n">
        <v>191</v>
      </c>
      <c r="B157" s="16" t="n">
        <v>46397</v>
      </c>
      <c r="C157" s="11" t="s">
        <v>2105</v>
      </c>
      <c r="D157" s="11" t="n">
        <v>6</v>
      </c>
      <c r="E157" s="11" t="s">
        <v>3371</v>
      </c>
      <c r="F157" s="11" t="s">
        <v>4098</v>
      </c>
      <c r="G157" s="11" t="s">
        <v>3803</v>
      </c>
      <c r="H157" s="11"/>
    </row>
    <row r="158" customFormat="false" ht="23.85" hidden="false" customHeight="false" outlineLevel="0" collapsed="false">
      <c r="A158" s="11" t="n">
        <v>196</v>
      </c>
      <c r="B158" s="16" t="n">
        <v>46399</v>
      </c>
      <c r="C158" s="11" t="s">
        <v>1966</v>
      </c>
      <c r="D158" s="11" t="n">
        <v>1</v>
      </c>
      <c r="E158" s="11" t="s">
        <v>2160</v>
      </c>
      <c r="F158" s="11" t="s">
        <v>4099</v>
      </c>
      <c r="G158" s="11" t="s">
        <v>2183</v>
      </c>
      <c r="H158" s="11" t="s">
        <v>2165</v>
      </c>
    </row>
    <row r="159" customFormat="false" ht="23.85" hidden="false" customHeight="false" outlineLevel="0" collapsed="false">
      <c r="A159" s="11" t="n">
        <v>196</v>
      </c>
      <c r="B159" s="16" t="n">
        <v>46399</v>
      </c>
      <c r="C159" s="11" t="s">
        <v>1966</v>
      </c>
      <c r="D159" s="11" t="n">
        <v>2</v>
      </c>
      <c r="E159" s="11" t="s">
        <v>4100</v>
      </c>
      <c r="F159" s="11" t="s">
        <v>4101</v>
      </c>
      <c r="G159" s="11" t="s">
        <v>3613</v>
      </c>
      <c r="H159" s="11"/>
    </row>
    <row r="160" customFormat="false" ht="15" hidden="false" customHeight="false" outlineLevel="0" collapsed="false">
      <c r="A160" s="11" t="n">
        <v>196</v>
      </c>
      <c r="B160" s="16" t="n">
        <v>46399</v>
      </c>
      <c r="C160" s="11" t="s">
        <v>1966</v>
      </c>
      <c r="D160" s="11" t="n">
        <v>3</v>
      </c>
      <c r="E160" s="11" t="s">
        <v>4102</v>
      </c>
      <c r="F160" s="11" t="s">
        <v>4103</v>
      </c>
      <c r="G160" s="11" t="s">
        <v>2183</v>
      </c>
      <c r="H160" s="11"/>
    </row>
    <row r="161" customFormat="false" ht="23.85" hidden="false" customHeight="false" outlineLevel="0" collapsed="false">
      <c r="A161" s="11" t="n">
        <v>196</v>
      </c>
      <c r="B161" s="16" t="n">
        <v>46399</v>
      </c>
      <c r="C161" s="11" t="s">
        <v>1966</v>
      </c>
      <c r="D161" s="11" t="n">
        <v>4</v>
      </c>
      <c r="E161" s="11" t="s">
        <v>4104</v>
      </c>
      <c r="F161" s="11" t="s">
        <v>4105</v>
      </c>
      <c r="G161" s="11" t="s">
        <v>3613</v>
      </c>
      <c r="H161" s="11"/>
    </row>
    <row r="162" customFormat="false" ht="15" hidden="false" customHeight="false" outlineLevel="0" collapsed="false">
      <c r="A162" s="11" t="n">
        <v>196</v>
      </c>
      <c r="B162" s="16" t="n">
        <v>46399</v>
      </c>
      <c r="C162" s="11" t="s">
        <v>1966</v>
      </c>
      <c r="D162" s="11" t="n">
        <v>5</v>
      </c>
      <c r="E162" s="11" t="s">
        <v>4106</v>
      </c>
      <c r="F162" s="11" t="s">
        <v>4107</v>
      </c>
      <c r="G162" s="11" t="s">
        <v>2183</v>
      </c>
      <c r="H162" s="11"/>
    </row>
    <row r="163" customFormat="false" ht="23.85" hidden="false" customHeight="false" outlineLevel="0" collapsed="false">
      <c r="A163" s="11" t="n">
        <v>196</v>
      </c>
      <c r="B163" s="16" t="n">
        <v>46399</v>
      </c>
      <c r="C163" s="11" t="s">
        <v>1966</v>
      </c>
      <c r="D163" s="11" t="n">
        <v>6</v>
      </c>
      <c r="E163" s="11" t="s">
        <v>4108</v>
      </c>
      <c r="F163" s="11" t="s">
        <v>3953</v>
      </c>
      <c r="G163" s="11" t="s">
        <v>3803</v>
      </c>
      <c r="H163" s="11"/>
    </row>
    <row r="164" customFormat="false" ht="23.85" hidden="false" customHeight="false" outlineLevel="0" collapsed="false">
      <c r="A164" s="11" t="n">
        <v>197</v>
      </c>
      <c r="B164" s="16" t="n">
        <v>46400</v>
      </c>
      <c r="C164" s="11" t="s">
        <v>1988</v>
      </c>
      <c r="D164" s="11" t="n">
        <v>1</v>
      </c>
      <c r="E164" s="11" t="s">
        <v>2168</v>
      </c>
      <c r="F164" s="11" t="s">
        <v>4109</v>
      </c>
      <c r="G164" s="11" t="s">
        <v>3628</v>
      </c>
      <c r="H164" s="11" t="s">
        <v>2173</v>
      </c>
    </row>
    <row r="165" customFormat="false" ht="23.85" hidden="false" customHeight="false" outlineLevel="0" collapsed="false">
      <c r="A165" s="11" t="n">
        <v>197</v>
      </c>
      <c r="B165" s="16" t="n">
        <v>46400</v>
      </c>
      <c r="C165" s="11" t="s">
        <v>1988</v>
      </c>
      <c r="D165" s="11" t="n">
        <v>2</v>
      </c>
      <c r="E165" s="11" t="s">
        <v>4110</v>
      </c>
      <c r="F165" s="11" t="s">
        <v>4111</v>
      </c>
      <c r="G165" s="11" t="s">
        <v>3637</v>
      </c>
      <c r="H165" s="11"/>
    </row>
    <row r="166" customFormat="false" ht="23.85" hidden="false" customHeight="false" outlineLevel="0" collapsed="false">
      <c r="A166" s="11" t="n">
        <v>197</v>
      </c>
      <c r="B166" s="16" t="n">
        <v>46400</v>
      </c>
      <c r="C166" s="11" t="s">
        <v>1988</v>
      </c>
      <c r="D166" s="11" t="n">
        <v>3</v>
      </c>
      <c r="E166" s="11" t="s">
        <v>4112</v>
      </c>
      <c r="F166" s="11" t="s">
        <v>4113</v>
      </c>
      <c r="G166" s="11" t="s">
        <v>3628</v>
      </c>
      <c r="H166" s="11"/>
    </row>
    <row r="167" customFormat="false" ht="23.85" hidden="false" customHeight="false" outlineLevel="0" collapsed="false">
      <c r="A167" s="11" t="n">
        <v>197</v>
      </c>
      <c r="B167" s="16" t="n">
        <v>46400</v>
      </c>
      <c r="C167" s="11" t="s">
        <v>1988</v>
      </c>
      <c r="D167" s="11" t="n">
        <v>4</v>
      </c>
      <c r="E167" s="11" t="s">
        <v>4114</v>
      </c>
      <c r="F167" s="11" t="s">
        <v>4115</v>
      </c>
      <c r="G167" s="11" t="s">
        <v>3637</v>
      </c>
      <c r="H167" s="11"/>
    </row>
    <row r="168" customFormat="false" ht="23.85" hidden="false" customHeight="false" outlineLevel="0" collapsed="false">
      <c r="A168" s="11" t="n">
        <v>197</v>
      </c>
      <c r="B168" s="16" t="n">
        <v>46400</v>
      </c>
      <c r="C168" s="11" t="s">
        <v>1988</v>
      </c>
      <c r="D168" s="11" t="n">
        <v>5</v>
      </c>
      <c r="E168" s="11" t="s">
        <v>4116</v>
      </c>
      <c r="F168" s="11" t="s">
        <v>4117</v>
      </c>
      <c r="G168" s="11" t="s">
        <v>3628</v>
      </c>
      <c r="H168" s="11"/>
    </row>
    <row r="169" customFormat="false" ht="23.85" hidden="false" customHeight="false" outlineLevel="0" collapsed="false">
      <c r="A169" s="11" t="n">
        <v>197</v>
      </c>
      <c r="B169" s="16" t="n">
        <v>46400</v>
      </c>
      <c r="C169" s="11" t="s">
        <v>1988</v>
      </c>
      <c r="D169" s="11" t="n">
        <v>6</v>
      </c>
      <c r="E169" s="11" t="s">
        <v>4118</v>
      </c>
      <c r="F169" s="11" t="s">
        <v>3953</v>
      </c>
      <c r="G169" s="11" t="s">
        <v>3803</v>
      </c>
      <c r="H169"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60"/>
    <col collapsed="false" customWidth="true" hidden="false" outlineLevel="0" max="3" min="3" style="0" width="9"/>
    <col collapsed="false" customWidth="true" hidden="false" outlineLevel="0" max="4" min="4" style="0" width="22"/>
    <col collapsed="false" customWidth="true" hidden="false" outlineLevel="0" max="5" min="5" style="0" width="11"/>
    <col collapsed="false" customWidth="true" hidden="false" outlineLevel="0" max="6" min="6" style="0" width="12"/>
    <col collapsed="false" customWidth="true" hidden="false" outlineLevel="0" max="7" min="7" style="0" width="10"/>
    <col collapsed="false" customWidth="true" hidden="false" outlineLevel="0" max="8" min="8" style="0" width="50"/>
  </cols>
  <sheetData>
    <row r="1" customFormat="false" ht="30" hidden="false" customHeight="true" outlineLevel="0" collapsed="false">
      <c r="A1" s="7" t="s">
        <v>4119</v>
      </c>
      <c r="B1" s="7" t="s">
        <v>4120</v>
      </c>
      <c r="C1" s="7" t="s">
        <v>35</v>
      </c>
      <c r="D1" s="7" t="s">
        <v>50</v>
      </c>
      <c r="E1" s="7" t="s">
        <v>4121</v>
      </c>
      <c r="F1" s="7" t="s">
        <v>4122</v>
      </c>
      <c r="G1" s="7" t="s">
        <v>34</v>
      </c>
      <c r="H1" s="7" t="s">
        <v>4123</v>
      </c>
    </row>
    <row r="2" customFormat="false" ht="15" hidden="false" customHeight="false" outlineLevel="0" collapsed="false">
      <c r="A2" s="17" t="s">
        <v>1062</v>
      </c>
      <c r="B2" s="17" t="s">
        <v>1063</v>
      </c>
      <c r="C2" s="17" t="s">
        <v>11</v>
      </c>
      <c r="D2" s="17" t="s">
        <v>4124</v>
      </c>
      <c r="E2" s="17" t="s">
        <v>1054</v>
      </c>
      <c r="F2" s="18" t="n">
        <v>46347</v>
      </c>
      <c r="G2" s="17" t="s">
        <v>3</v>
      </c>
      <c r="H2" s="17"/>
    </row>
    <row r="3" customFormat="false" ht="15" hidden="false" customHeight="false" outlineLevel="0" collapsed="false">
      <c r="A3" s="17" t="s">
        <v>1184</v>
      </c>
      <c r="B3" s="17" t="s">
        <v>1185</v>
      </c>
      <c r="C3" s="17" t="s">
        <v>11</v>
      </c>
      <c r="D3" s="17" t="s">
        <v>4124</v>
      </c>
      <c r="E3" s="17" t="s">
        <v>1177</v>
      </c>
      <c r="F3" s="18" t="n">
        <v>46353</v>
      </c>
      <c r="G3" s="17" t="s">
        <v>3</v>
      </c>
      <c r="H3" s="17"/>
    </row>
    <row r="4" customFormat="false" ht="15" hidden="false" customHeight="false" outlineLevel="0" collapsed="false">
      <c r="A4" s="17" t="s">
        <v>3466</v>
      </c>
      <c r="B4" s="17" t="s">
        <v>4125</v>
      </c>
      <c r="C4" s="17" t="s">
        <v>9</v>
      </c>
      <c r="D4" s="17" t="s">
        <v>4124</v>
      </c>
      <c r="E4" s="17" t="s">
        <v>1721</v>
      </c>
      <c r="F4" s="18" t="n">
        <v>46379</v>
      </c>
      <c r="G4" s="17" t="s">
        <v>4</v>
      </c>
      <c r="H4" s="17"/>
    </row>
    <row r="5" customFormat="false" ht="15" hidden="false" customHeight="false" outlineLevel="0" collapsed="false">
      <c r="A5" s="17" t="s">
        <v>3511</v>
      </c>
      <c r="B5" s="17" t="s">
        <v>4126</v>
      </c>
      <c r="C5" s="17" t="s">
        <v>9</v>
      </c>
      <c r="D5" s="17" t="s">
        <v>4124</v>
      </c>
      <c r="E5" s="17" t="s">
        <v>1828</v>
      </c>
      <c r="F5" s="18" t="n">
        <v>46384</v>
      </c>
      <c r="G5" s="17" t="s">
        <v>4</v>
      </c>
      <c r="H5" s="17"/>
    </row>
    <row r="6" customFormat="false" ht="15" hidden="false" customHeight="false" outlineLevel="0" collapsed="false">
      <c r="A6" s="17" t="s">
        <v>3410</v>
      </c>
      <c r="B6" s="17" t="s">
        <v>4127</v>
      </c>
      <c r="C6" s="17" t="s">
        <v>9</v>
      </c>
      <c r="D6" s="17" t="s">
        <v>4124</v>
      </c>
      <c r="E6" s="17" t="s">
        <v>1656</v>
      </c>
      <c r="F6" s="18" t="n">
        <v>46376</v>
      </c>
      <c r="G6" s="17" t="s">
        <v>4</v>
      </c>
      <c r="H6" s="17"/>
    </row>
    <row r="7" customFormat="false" ht="15" hidden="false" customHeight="false" outlineLevel="0" collapsed="false">
      <c r="A7" s="17" t="s">
        <v>2632</v>
      </c>
      <c r="B7" s="17" t="s">
        <v>4128</v>
      </c>
      <c r="C7" s="17" t="s">
        <v>9</v>
      </c>
      <c r="D7" s="17" t="s">
        <v>4124</v>
      </c>
      <c r="E7" s="17" t="s">
        <v>568</v>
      </c>
      <c r="F7" s="18" t="n">
        <v>46324</v>
      </c>
      <c r="G7" s="17" t="s">
        <v>4</v>
      </c>
      <c r="H7" s="17"/>
    </row>
    <row r="8" customFormat="false" ht="15" hidden="false" customHeight="false" outlineLevel="0" collapsed="false">
      <c r="A8" s="17" t="s">
        <v>3719</v>
      </c>
      <c r="B8" s="17" t="s">
        <v>4129</v>
      </c>
      <c r="C8" s="17" t="s">
        <v>9</v>
      </c>
      <c r="D8" s="17" t="s">
        <v>4124</v>
      </c>
      <c r="E8" s="17" t="s">
        <v>2084</v>
      </c>
      <c r="F8" s="18" t="n">
        <v>46396</v>
      </c>
      <c r="G8" s="17" t="s">
        <v>4</v>
      </c>
      <c r="H8" s="17"/>
    </row>
    <row r="9" customFormat="false" ht="15" hidden="false" customHeight="false" outlineLevel="0" collapsed="false">
      <c r="A9" s="17" t="s">
        <v>3741</v>
      </c>
      <c r="B9" s="17" t="s">
        <v>4130</v>
      </c>
      <c r="C9" s="17" t="s">
        <v>9</v>
      </c>
      <c r="D9" s="17" t="s">
        <v>4124</v>
      </c>
      <c r="E9" s="17" t="s">
        <v>2126</v>
      </c>
      <c r="F9" s="18" t="n">
        <v>46398</v>
      </c>
      <c r="G9" s="17" t="s">
        <v>4</v>
      </c>
      <c r="H9" s="17"/>
    </row>
    <row r="10" customFormat="false" ht="15" hidden="false" customHeight="false" outlineLevel="0" collapsed="false">
      <c r="A10" s="17" t="s">
        <v>4015</v>
      </c>
      <c r="B10" s="17" t="s">
        <v>4131</v>
      </c>
      <c r="C10" s="17" t="s">
        <v>9</v>
      </c>
      <c r="D10" s="17" t="s">
        <v>4124</v>
      </c>
      <c r="E10" s="17" t="s">
        <v>1613</v>
      </c>
      <c r="F10" s="18" t="n">
        <v>46374</v>
      </c>
      <c r="G10" s="17" t="s">
        <v>5</v>
      </c>
      <c r="H10" s="17"/>
    </row>
    <row r="11" customFormat="false" ht="15" hidden="false" customHeight="false" outlineLevel="0" collapsed="false">
      <c r="A11" s="17" t="s">
        <v>1470</v>
      </c>
      <c r="B11" s="17" t="s">
        <v>1471</v>
      </c>
      <c r="C11" s="17" t="s">
        <v>9</v>
      </c>
      <c r="D11" s="17" t="s">
        <v>4124</v>
      </c>
      <c r="E11" s="17" t="s">
        <v>1463</v>
      </c>
      <c r="F11" s="18" t="n">
        <v>46367</v>
      </c>
      <c r="G11" s="17" t="s">
        <v>3</v>
      </c>
      <c r="H11" s="17"/>
    </row>
    <row r="12" customFormat="false" ht="15" hidden="false" customHeight="false" outlineLevel="0" collapsed="false">
      <c r="A12" s="17" t="s">
        <v>1545</v>
      </c>
      <c r="B12" s="17" t="s">
        <v>1546</v>
      </c>
      <c r="C12" s="17" t="s">
        <v>9</v>
      </c>
      <c r="D12" s="17" t="s">
        <v>4124</v>
      </c>
      <c r="E12" s="17" t="s">
        <v>1538</v>
      </c>
      <c r="F12" s="18" t="n">
        <v>46370</v>
      </c>
      <c r="G12" s="17" t="s">
        <v>3</v>
      </c>
      <c r="H12" s="17"/>
    </row>
    <row r="13" customFormat="false" ht="15" hidden="false" customHeight="false" outlineLevel="0" collapsed="false">
      <c r="A13" s="17" t="s">
        <v>3559</v>
      </c>
      <c r="B13" s="17" t="s">
        <v>4132</v>
      </c>
      <c r="C13" s="17" t="s">
        <v>9</v>
      </c>
      <c r="D13" s="17" t="s">
        <v>4124</v>
      </c>
      <c r="E13" s="17" t="s">
        <v>1909</v>
      </c>
      <c r="F13" s="18" t="n">
        <v>46388</v>
      </c>
      <c r="G13" s="17" t="s">
        <v>4</v>
      </c>
      <c r="H13" s="17"/>
    </row>
    <row r="14" customFormat="false" ht="15" hidden="false" customHeight="false" outlineLevel="0" collapsed="false">
      <c r="A14" s="17" t="s">
        <v>3990</v>
      </c>
      <c r="B14" s="17" t="s">
        <v>4133</v>
      </c>
      <c r="C14" s="17" t="s">
        <v>9</v>
      </c>
      <c r="D14" s="17" t="s">
        <v>4124</v>
      </c>
      <c r="E14" s="17" t="s">
        <v>1398</v>
      </c>
      <c r="F14" s="18" t="n">
        <v>46364</v>
      </c>
      <c r="G14" s="17" t="s">
        <v>5</v>
      </c>
      <c r="H14" s="17"/>
    </row>
    <row r="15" customFormat="false" ht="15" hidden="false" customHeight="false" outlineLevel="0" collapsed="false">
      <c r="A15" s="17" t="s">
        <v>3572</v>
      </c>
      <c r="B15" s="17" t="s">
        <v>4134</v>
      </c>
      <c r="C15" s="17" t="s">
        <v>9</v>
      </c>
      <c r="D15" s="17" t="s">
        <v>4124</v>
      </c>
      <c r="E15" s="17" t="s">
        <v>1909</v>
      </c>
      <c r="F15" s="18" t="n">
        <v>46388</v>
      </c>
      <c r="G15" s="17" t="s">
        <v>4</v>
      </c>
      <c r="H15" s="17"/>
    </row>
    <row r="16" customFormat="false" ht="15" hidden="false" customHeight="false" outlineLevel="0" collapsed="false">
      <c r="A16" s="17" t="s">
        <v>4053</v>
      </c>
      <c r="B16" s="17" t="s">
        <v>4135</v>
      </c>
      <c r="C16" s="17" t="s">
        <v>9</v>
      </c>
      <c r="D16" s="17" t="s">
        <v>4124</v>
      </c>
      <c r="E16" s="17" t="s">
        <v>1870</v>
      </c>
      <c r="F16" s="18" t="n">
        <v>46386</v>
      </c>
      <c r="G16" s="17" t="s">
        <v>5</v>
      </c>
      <c r="H16" s="17"/>
    </row>
    <row r="17" customFormat="false" ht="15" hidden="false" customHeight="false" outlineLevel="0" collapsed="false">
      <c r="A17" s="17" t="s">
        <v>3397</v>
      </c>
      <c r="B17" s="17" t="s">
        <v>4136</v>
      </c>
      <c r="C17" s="17" t="s">
        <v>9</v>
      </c>
      <c r="D17" s="17" t="s">
        <v>4124</v>
      </c>
      <c r="E17" s="17" t="s">
        <v>1656</v>
      </c>
      <c r="F17" s="18" t="n">
        <v>46376</v>
      </c>
      <c r="G17" s="17" t="s">
        <v>4</v>
      </c>
      <c r="H17" s="17"/>
    </row>
    <row r="18" customFormat="false" ht="15" hidden="false" customHeight="false" outlineLevel="0" collapsed="false">
      <c r="A18" s="17" t="s">
        <v>4091</v>
      </c>
      <c r="B18" s="17" t="s">
        <v>4137</v>
      </c>
      <c r="C18" s="17" t="s">
        <v>9</v>
      </c>
      <c r="D18" s="17" t="s">
        <v>4124</v>
      </c>
      <c r="E18" s="17" t="s">
        <v>2105</v>
      </c>
      <c r="F18" s="18" t="n">
        <v>46397</v>
      </c>
      <c r="G18" s="17" t="s">
        <v>5</v>
      </c>
      <c r="H18" s="17"/>
    </row>
    <row r="19" customFormat="false" ht="15" hidden="false" customHeight="false" outlineLevel="0" collapsed="false">
      <c r="A19" s="17" t="s">
        <v>4138</v>
      </c>
      <c r="B19" s="17" t="s">
        <v>4139</v>
      </c>
      <c r="C19" s="17" t="s">
        <v>9</v>
      </c>
      <c r="D19" s="19" t="s">
        <v>4140</v>
      </c>
      <c r="E19" s="17"/>
      <c r="F19" s="18"/>
      <c r="G19" s="17"/>
      <c r="H19" s="17" t="s">
        <v>4141</v>
      </c>
    </row>
    <row r="20" customFormat="false" ht="15" hidden="false" customHeight="false" outlineLevel="0" collapsed="false">
      <c r="A20" s="17" t="s">
        <v>3993</v>
      </c>
      <c r="B20" s="17" t="s">
        <v>4142</v>
      </c>
      <c r="C20" s="17" t="s">
        <v>9</v>
      </c>
      <c r="D20" s="17" t="s">
        <v>4124</v>
      </c>
      <c r="E20" s="17" t="s">
        <v>1398</v>
      </c>
      <c r="F20" s="18" t="n">
        <v>46364</v>
      </c>
      <c r="G20" s="17" t="s">
        <v>5</v>
      </c>
      <c r="H20" s="17"/>
    </row>
    <row r="21" customFormat="false" ht="15" hidden="false" customHeight="false" outlineLevel="0" collapsed="false">
      <c r="A21" s="17" t="s">
        <v>3758</v>
      </c>
      <c r="B21" s="17" t="s">
        <v>4143</v>
      </c>
      <c r="C21" s="17" t="s">
        <v>9</v>
      </c>
      <c r="D21" s="17" t="s">
        <v>4124</v>
      </c>
      <c r="E21" s="17" t="s">
        <v>2126</v>
      </c>
      <c r="F21" s="18" t="n">
        <v>46398</v>
      </c>
      <c r="G21" s="17" t="s">
        <v>4</v>
      </c>
      <c r="H21" s="17"/>
    </row>
    <row r="22" customFormat="false" ht="15" hidden="false" customHeight="false" outlineLevel="0" collapsed="false">
      <c r="A22" s="17" t="s">
        <v>3520</v>
      </c>
      <c r="B22" s="17" t="s">
        <v>4144</v>
      </c>
      <c r="C22" s="17" t="s">
        <v>9</v>
      </c>
      <c r="D22" s="17" t="s">
        <v>4124</v>
      </c>
      <c r="E22" s="17" t="s">
        <v>1828</v>
      </c>
      <c r="F22" s="18" t="n">
        <v>46384</v>
      </c>
      <c r="G22" s="17" t="s">
        <v>4</v>
      </c>
      <c r="H22" s="17"/>
    </row>
    <row r="23" customFormat="false" ht="15" hidden="false" customHeight="false" outlineLevel="0" collapsed="false">
      <c r="A23" s="17" t="s">
        <v>4145</v>
      </c>
      <c r="B23" s="17" t="s">
        <v>4146</v>
      </c>
      <c r="C23" s="17" t="s">
        <v>9</v>
      </c>
      <c r="D23" s="19" t="s">
        <v>4140</v>
      </c>
      <c r="E23" s="17"/>
      <c r="F23" s="18"/>
      <c r="G23" s="17"/>
      <c r="H23" s="17" t="s">
        <v>4147</v>
      </c>
    </row>
    <row r="24" customFormat="false" ht="15" hidden="false" customHeight="false" outlineLevel="0" collapsed="false">
      <c r="A24" s="17" t="s">
        <v>3731</v>
      </c>
      <c r="B24" s="17" t="s">
        <v>4148</v>
      </c>
      <c r="C24" s="17" t="s">
        <v>9</v>
      </c>
      <c r="D24" s="17" t="s">
        <v>4124</v>
      </c>
      <c r="E24" s="17" t="s">
        <v>2084</v>
      </c>
      <c r="F24" s="18" t="n">
        <v>46396</v>
      </c>
      <c r="G24" s="17" t="s">
        <v>4</v>
      </c>
      <c r="H24" s="17"/>
    </row>
    <row r="25" customFormat="false" ht="15" hidden="false" customHeight="false" outlineLevel="0" collapsed="false">
      <c r="A25" s="17" t="s">
        <v>3479</v>
      </c>
      <c r="B25" s="17" t="s">
        <v>4149</v>
      </c>
      <c r="C25" s="17" t="s">
        <v>9</v>
      </c>
      <c r="D25" s="17" t="s">
        <v>4124</v>
      </c>
      <c r="E25" s="17" t="s">
        <v>1721</v>
      </c>
      <c r="F25" s="18" t="n">
        <v>46379</v>
      </c>
      <c r="G25" s="17" t="s">
        <v>4</v>
      </c>
      <c r="H25" s="17"/>
    </row>
    <row r="26" customFormat="false" ht="15" hidden="false" customHeight="false" outlineLevel="0" collapsed="false">
      <c r="A26" s="17" t="s">
        <v>3765</v>
      </c>
      <c r="B26" s="17" t="s">
        <v>4150</v>
      </c>
      <c r="C26" s="17" t="s">
        <v>9</v>
      </c>
      <c r="D26" s="17" t="s">
        <v>4124</v>
      </c>
      <c r="E26" s="17" t="s">
        <v>2148</v>
      </c>
      <c r="F26" s="18" t="n">
        <v>46399</v>
      </c>
      <c r="G26" s="17" t="s">
        <v>4</v>
      </c>
      <c r="H26" s="17"/>
    </row>
    <row r="27" customFormat="false" ht="15" hidden="false" customHeight="false" outlineLevel="0" collapsed="false">
      <c r="A27" s="17" t="s">
        <v>2834</v>
      </c>
      <c r="B27" s="17" t="s">
        <v>4151</v>
      </c>
      <c r="C27" s="17" t="s">
        <v>9</v>
      </c>
      <c r="D27" s="17" t="s">
        <v>4124</v>
      </c>
      <c r="E27" s="17" t="s">
        <v>874</v>
      </c>
      <c r="F27" s="18" t="n">
        <v>46339</v>
      </c>
      <c r="G27" s="17" t="s">
        <v>4</v>
      </c>
      <c r="H27" s="17"/>
    </row>
    <row r="28" customFormat="false" ht="15" hidden="false" customHeight="false" outlineLevel="0" collapsed="false">
      <c r="A28" s="17" t="s">
        <v>2183</v>
      </c>
      <c r="B28" s="17" t="s">
        <v>2184</v>
      </c>
      <c r="C28" s="17" t="s">
        <v>9</v>
      </c>
      <c r="D28" s="17" t="s">
        <v>4124</v>
      </c>
      <c r="E28" s="17" t="s">
        <v>1953</v>
      </c>
      <c r="F28" s="18" t="n">
        <v>46390</v>
      </c>
      <c r="G28" s="17" t="s">
        <v>4</v>
      </c>
      <c r="H28" s="17"/>
    </row>
    <row r="29" customFormat="false" ht="15" hidden="false" customHeight="false" outlineLevel="0" collapsed="false">
      <c r="A29" s="17" t="s">
        <v>3777</v>
      </c>
      <c r="B29" s="17" t="s">
        <v>4152</v>
      </c>
      <c r="C29" s="17" t="s">
        <v>9</v>
      </c>
      <c r="D29" s="17" t="s">
        <v>4124</v>
      </c>
      <c r="E29" s="17" t="s">
        <v>2148</v>
      </c>
      <c r="F29" s="18" t="n">
        <v>46399</v>
      </c>
      <c r="G29" s="17" t="s">
        <v>4</v>
      </c>
      <c r="H29" s="17"/>
    </row>
    <row r="30" customFormat="false" ht="15" hidden="false" customHeight="false" outlineLevel="0" collapsed="false">
      <c r="A30" s="17" t="s">
        <v>1030</v>
      </c>
      <c r="B30" s="17" t="s">
        <v>1031</v>
      </c>
      <c r="C30" s="17" t="s">
        <v>9</v>
      </c>
      <c r="D30" s="17" t="s">
        <v>4124</v>
      </c>
      <c r="E30" s="17" t="s">
        <v>1022</v>
      </c>
      <c r="F30" s="18" t="n">
        <v>46346</v>
      </c>
      <c r="G30" s="17" t="s">
        <v>3</v>
      </c>
      <c r="H30" s="17"/>
    </row>
    <row r="31" customFormat="false" ht="15" hidden="false" customHeight="false" outlineLevel="0" collapsed="false">
      <c r="A31" s="17" t="s">
        <v>860</v>
      </c>
      <c r="B31" s="17" t="s">
        <v>861</v>
      </c>
      <c r="C31" s="17" t="s">
        <v>9</v>
      </c>
      <c r="D31" s="17" t="s">
        <v>4124</v>
      </c>
      <c r="E31" s="17" t="s">
        <v>852</v>
      </c>
      <c r="F31" s="18" t="n">
        <v>46338</v>
      </c>
      <c r="G31" s="17" t="s">
        <v>4</v>
      </c>
      <c r="H31" s="17"/>
    </row>
    <row r="32" customFormat="false" ht="15" hidden="false" customHeight="false" outlineLevel="0" collapsed="false">
      <c r="A32" s="17" t="s">
        <v>3696</v>
      </c>
      <c r="B32" s="17" t="s">
        <v>4153</v>
      </c>
      <c r="C32" s="17" t="s">
        <v>9</v>
      </c>
      <c r="D32" s="17" t="s">
        <v>4124</v>
      </c>
      <c r="E32" s="17" t="s">
        <v>2064</v>
      </c>
      <c r="F32" s="18" t="n">
        <v>46395</v>
      </c>
      <c r="G32" s="17" t="s">
        <v>4</v>
      </c>
      <c r="H32" s="17"/>
    </row>
    <row r="33" customFormat="false" ht="15" hidden="false" customHeight="false" outlineLevel="0" collapsed="false">
      <c r="A33" s="17" t="s">
        <v>2008</v>
      </c>
      <c r="B33" s="17" t="s">
        <v>2009</v>
      </c>
      <c r="C33" s="17" t="s">
        <v>9</v>
      </c>
      <c r="D33" s="17" t="s">
        <v>4124</v>
      </c>
      <c r="E33" s="17" t="s">
        <v>2000</v>
      </c>
      <c r="F33" s="18" t="n">
        <v>46392</v>
      </c>
      <c r="G33" s="17" t="s">
        <v>4</v>
      </c>
      <c r="H33" s="17"/>
    </row>
    <row r="34" customFormat="false" ht="15" hidden="false" customHeight="false" outlineLevel="0" collapsed="false">
      <c r="A34" s="17" t="s">
        <v>3977</v>
      </c>
      <c r="B34" s="17" t="s">
        <v>4154</v>
      </c>
      <c r="C34" s="17" t="s">
        <v>9</v>
      </c>
      <c r="D34" s="17" t="s">
        <v>4124</v>
      </c>
      <c r="E34" s="17" t="s">
        <v>1301</v>
      </c>
      <c r="F34" s="18" t="n">
        <v>46359</v>
      </c>
      <c r="G34" s="17" t="s">
        <v>5</v>
      </c>
      <c r="H34" s="17"/>
    </row>
    <row r="35" customFormat="false" ht="15" hidden="false" customHeight="false" outlineLevel="0" collapsed="false">
      <c r="A35" s="17" t="s">
        <v>4155</v>
      </c>
      <c r="B35" s="17" t="s">
        <v>4156</v>
      </c>
      <c r="C35" s="17" t="s">
        <v>10</v>
      </c>
      <c r="D35" s="19" t="s">
        <v>4140</v>
      </c>
      <c r="E35" s="17"/>
      <c r="F35" s="18"/>
      <c r="G35" s="17"/>
      <c r="H35" s="17" t="s">
        <v>4157</v>
      </c>
    </row>
    <row r="36" customFormat="false" ht="15" hidden="false" customHeight="false" outlineLevel="0" collapsed="false">
      <c r="A36" s="17" t="s">
        <v>1205</v>
      </c>
      <c r="B36" s="17" t="s">
        <v>1206</v>
      </c>
      <c r="C36" s="17" t="s">
        <v>10</v>
      </c>
      <c r="D36" s="17" t="s">
        <v>4124</v>
      </c>
      <c r="E36" s="17" t="s">
        <v>1198</v>
      </c>
      <c r="F36" s="18" t="n">
        <v>46354</v>
      </c>
      <c r="G36" s="17" t="s">
        <v>3</v>
      </c>
      <c r="H36" s="17"/>
    </row>
    <row r="37" customFormat="false" ht="15" hidden="false" customHeight="false" outlineLevel="0" collapsed="false">
      <c r="A37" s="17" t="s">
        <v>1610</v>
      </c>
      <c r="B37" s="17" t="s">
        <v>1611</v>
      </c>
      <c r="C37" s="17" t="s">
        <v>10</v>
      </c>
      <c r="D37" s="17" t="s">
        <v>4124</v>
      </c>
      <c r="E37" s="17" t="s">
        <v>1602</v>
      </c>
      <c r="F37" s="18" t="n">
        <v>46373</v>
      </c>
      <c r="G37" s="17" t="s">
        <v>3</v>
      </c>
      <c r="H37" s="17"/>
    </row>
    <row r="38" customFormat="false" ht="15" hidden="false" customHeight="false" outlineLevel="0" collapsed="false">
      <c r="A38" s="17" t="s">
        <v>3536</v>
      </c>
      <c r="B38" s="17" t="s">
        <v>4158</v>
      </c>
      <c r="C38" s="17" t="s">
        <v>10</v>
      </c>
      <c r="D38" s="17" t="s">
        <v>4124</v>
      </c>
      <c r="E38" s="17" t="s">
        <v>1848</v>
      </c>
      <c r="F38" s="18" t="n">
        <v>46385</v>
      </c>
      <c r="G38" s="17" t="s">
        <v>4</v>
      </c>
      <c r="H38" s="17"/>
    </row>
    <row r="39" customFormat="false" ht="15" hidden="false" customHeight="false" outlineLevel="0" collapsed="false">
      <c r="A39" s="17" t="s">
        <v>1226</v>
      </c>
      <c r="B39" s="17" t="s">
        <v>1227</v>
      </c>
      <c r="C39" s="17" t="s">
        <v>11</v>
      </c>
      <c r="D39" s="17" t="s">
        <v>4124</v>
      </c>
      <c r="E39" s="17" t="s">
        <v>1218</v>
      </c>
      <c r="F39" s="18" t="n">
        <v>46355</v>
      </c>
      <c r="G39" s="17" t="s">
        <v>3</v>
      </c>
      <c r="H39" s="17"/>
    </row>
    <row r="40" customFormat="false" ht="15" hidden="false" customHeight="false" outlineLevel="0" collapsed="false">
      <c r="A40" s="17" t="s">
        <v>1215</v>
      </c>
      <c r="B40" s="17" t="s">
        <v>1216</v>
      </c>
      <c r="C40" s="17" t="s">
        <v>11</v>
      </c>
      <c r="D40" s="17" t="s">
        <v>4124</v>
      </c>
      <c r="E40" s="17" t="s">
        <v>1208</v>
      </c>
      <c r="F40" s="18" t="n">
        <v>46355</v>
      </c>
      <c r="G40" s="17" t="s">
        <v>4</v>
      </c>
      <c r="H40" s="17"/>
    </row>
    <row r="41" customFormat="false" ht="15" hidden="false" customHeight="false" outlineLevel="0" collapsed="false">
      <c r="A41" s="17" t="s">
        <v>4041</v>
      </c>
      <c r="B41" s="17" t="s">
        <v>4159</v>
      </c>
      <c r="C41" s="17" t="s">
        <v>11</v>
      </c>
      <c r="D41" s="17" t="s">
        <v>4124</v>
      </c>
      <c r="E41" s="17" t="s">
        <v>1775</v>
      </c>
      <c r="F41" s="18" t="n">
        <v>46381</v>
      </c>
      <c r="G41" s="17" t="s">
        <v>5</v>
      </c>
      <c r="H41" s="17"/>
    </row>
    <row r="42" customFormat="false" ht="15" hidden="false" customHeight="false" outlineLevel="0" collapsed="false">
      <c r="A42" s="17" t="s">
        <v>3155</v>
      </c>
      <c r="B42" s="17" t="s">
        <v>4159</v>
      </c>
      <c r="C42" s="17" t="s">
        <v>11</v>
      </c>
      <c r="D42" s="17" t="s">
        <v>4124</v>
      </c>
      <c r="E42" s="17" t="s">
        <v>1344</v>
      </c>
      <c r="F42" s="18" t="n">
        <v>46361</v>
      </c>
      <c r="G42" s="17" t="s">
        <v>4</v>
      </c>
      <c r="H42" s="17"/>
    </row>
    <row r="43" customFormat="false" ht="15" hidden="false" customHeight="false" outlineLevel="0" collapsed="false">
      <c r="A43" s="17" t="s">
        <v>3945</v>
      </c>
      <c r="B43" s="17" t="s">
        <v>4159</v>
      </c>
      <c r="C43" s="17" t="s">
        <v>11</v>
      </c>
      <c r="D43" s="17" t="s">
        <v>4124</v>
      </c>
      <c r="E43" s="17" t="s">
        <v>1155</v>
      </c>
      <c r="F43" s="18" t="n">
        <v>46352</v>
      </c>
      <c r="G43" s="17" t="s">
        <v>5</v>
      </c>
      <c r="H43" s="17"/>
    </row>
    <row r="44" customFormat="false" ht="15" hidden="false" customHeight="false" outlineLevel="0" collapsed="false">
      <c r="A44" s="17" t="s">
        <v>1633</v>
      </c>
      <c r="B44" s="17" t="s">
        <v>1634</v>
      </c>
      <c r="C44" s="17" t="s">
        <v>11</v>
      </c>
      <c r="D44" s="17" t="s">
        <v>4124</v>
      </c>
      <c r="E44" s="17" t="s">
        <v>1625</v>
      </c>
      <c r="F44" s="18" t="n">
        <v>46374</v>
      </c>
      <c r="G44" s="17" t="s">
        <v>3</v>
      </c>
      <c r="H44" s="17"/>
    </row>
    <row r="45" customFormat="false" ht="15" hidden="false" customHeight="false" outlineLevel="0" collapsed="false">
      <c r="A45" s="17" t="s">
        <v>1492</v>
      </c>
      <c r="B45" s="17" t="s">
        <v>1493</v>
      </c>
      <c r="C45" s="17" t="s">
        <v>11</v>
      </c>
      <c r="D45" s="17" t="s">
        <v>4124</v>
      </c>
      <c r="E45" s="17" t="s">
        <v>1484</v>
      </c>
      <c r="F45" s="18" t="n">
        <v>46368</v>
      </c>
      <c r="G45" s="17" t="s">
        <v>4</v>
      </c>
      <c r="H45" s="17"/>
    </row>
    <row r="46" customFormat="false" ht="15" hidden="false" customHeight="false" outlineLevel="0" collapsed="false">
      <c r="A46" s="17" t="s">
        <v>3958</v>
      </c>
      <c r="B46" s="17" t="s">
        <v>872</v>
      </c>
      <c r="C46" s="17" t="s">
        <v>11</v>
      </c>
      <c r="D46" s="17" t="s">
        <v>4124</v>
      </c>
      <c r="E46" s="17" t="s">
        <v>1249</v>
      </c>
      <c r="F46" s="18" t="n">
        <v>46357</v>
      </c>
      <c r="G46" s="17" t="s">
        <v>5</v>
      </c>
      <c r="H46" s="17"/>
    </row>
    <row r="47" customFormat="false" ht="15" hidden="false" customHeight="false" outlineLevel="0" collapsed="false">
      <c r="A47" s="17" t="s">
        <v>1290</v>
      </c>
      <c r="B47" s="17" t="s">
        <v>1291</v>
      </c>
      <c r="C47" s="17" t="s">
        <v>11</v>
      </c>
      <c r="D47" s="17" t="s">
        <v>4124</v>
      </c>
      <c r="E47" s="17" t="s">
        <v>1283</v>
      </c>
      <c r="F47" s="18" t="n">
        <v>46358</v>
      </c>
      <c r="G47" s="17" t="s">
        <v>3</v>
      </c>
      <c r="H47" s="17"/>
    </row>
    <row r="48" customFormat="false" ht="15" hidden="false" customHeight="false" outlineLevel="0" collapsed="false">
      <c r="A48" s="17" t="s">
        <v>3942</v>
      </c>
      <c r="B48" s="17" t="s">
        <v>4160</v>
      </c>
      <c r="C48" s="17" t="s">
        <v>11</v>
      </c>
      <c r="D48" s="17" t="s">
        <v>4124</v>
      </c>
      <c r="E48" s="17" t="s">
        <v>1155</v>
      </c>
      <c r="F48" s="18" t="n">
        <v>46352</v>
      </c>
      <c r="G48" s="17" t="s">
        <v>5</v>
      </c>
      <c r="H48" s="17"/>
    </row>
    <row r="49" customFormat="false" ht="15" hidden="false" customHeight="false" outlineLevel="0" collapsed="false">
      <c r="A49" s="17" t="s">
        <v>1362</v>
      </c>
      <c r="B49" s="17" t="s">
        <v>1363</v>
      </c>
      <c r="C49" s="17" t="s">
        <v>11</v>
      </c>
      <c r="D49" s="17" t="s">
        <v>4124</v>
      </c>
      <c r="E49" s="17" t="s">
        <v>1355</v>
      </c>
      <c r="F49" s="18" t="n">
        <v>46362</v>
      </c>
      <c r="G49" s="17" t="s">
        <v>3</v>
      </c>
      <c r="H49" s="17"/>
    </row>
    <row r="50" customFormat="false" ht="15" hidden="false" customHeight="false" outlineLevel="0" collapsed="false">
      <c r="A50" s="17" t="s">
        <v>4075</v>
      </c>
      <c r="B50" s="17" t="s">
        <v>4161</v>
      </c>
      <c r="C50" s="17" t="s">
        <v>11</v>
      </c>
      <c r="D50" s="17" t="s">
        <v>4124</v>
      </c>
      <c r="E50" s="17" t="s">
        <v>2031</v>
      </c>
      <c r="F50" s="18" t="n">
        <v>46393</v>
      </c>
      <c r="G50" s="17" t="s">
        <v>5</v>
      </c>
      <c r="H50" s="17"/>
    </row>
    <row r="51" customFormat="false" ht="15" hidden="false" customHeight="false" outlineLevel="0" collapsed="false">
      <c r="A51" s="17" t="s">
        <v>4088</v>
      </c>
      <c r="B51" s="17" t="s">
        <v>4162</v>
      </c>
      <c r="C51" s="17" t="s">
        <v>11</v>
      </c>
      <c r="D51" s="17" t="s">
        <v>4124</v>
      </c>
      <c r="E51" s="17" t="s">
        <v>2105</v>
      </c>
      <c r="F51" s="18" t="n">
        <v>46397</v>
      </c>
      <c r="G51" s="17" t="s">
        <v>5</v>
      </c>
      <c r="H51" s="17"/>
    </row>
    <row r="52" customFormat="false" ht="15" hidden="false" customHeight="false" outlineLevel="0" collapsed="false">
      <c r="A52" s="17" t="s">
        <v>666</v>
      </c>
      <c r="B52" s="17" t="s">
        <v>667</v>
      </c>
      <c r="C52" s="17" t="s">
        <v>11</v>
      </c>
      <c r="D52" s="17" t="s">
        <v>4124</v>
      </c>
      <c r="E52" s="17" t="s">
        <v>658</v>
      </c>
      <c r="F52" s="18" t="n">
        <v>46328</v>
      </c>
      <c r="G52" s="17" t="s">
        <v>3</v>
      </c>
      <c r="H52" s="17"/>
    </row>
    <row r="53" customFormat="false" ht="15" hidden="false" customHeight="false" outlineLevel="0" collapsed="false">
      <c r="A53" s="17" t="s">
        <v>2367</v>
      </c>
      <c r="B53" s="17" t="s">
        <v>4163</v>
      </c>
      <c r="C53" s="17" t="s">
        <v>11</v>
      </c>
      <c r="D53" s="17" t="s">
        <v>4124</v>
      </c>
      <c r="E53" s="17" t="s">
        <v>256</v>
      </c>
      <c r="F53" s="18" t="n">
        <v>46310</v>
      </c>
      <c r="G53" s="17" t="s">
        <v>4</v>
      </c>
      <c r="H53" s="17"/>
    </row>
    <row r="54" customFormat="false" ht="15" hidden="false" customHeight="false" outlineLevel="0" collapsed="false">
      <c r="A54" s="17" t="s">
        <v>1460</v>
      </c>
      <c r="B54" s="17" t="s">
        <v>1461</v>
      </c>
      <c r="C54" s="17" t="s">
        <v>11</v>
      </c>
      <c r="D54" s="17" t="s">
        <v>4124</v>
      </c>
      <c r="E54" s="17" t="s">
        <v>1452</v>
      </c>
      <c r="F54" s="18" t="n">
        <v>46366</v>
      </c>
      <c r="G54" s="17" t="s">
        <v>3</v>
      </c>
      <c r="H54" s="17"/>
    </row>
    <row r="55" customFormat="false" ht="15" hidden="false" customHeight="false" outlineLevel="0" collapsed="false">
      <c r="A55" s="17" t="s">
        <v>3244</v>
      </c>
      <c r="B55" s="17" t="s">
        <v>4164</v>
      </c>
      <c r="C55" s="17" t="s">
        <v>11</v>
      </c>
      <c r="D55" s="17" t="s">
        <v>4124</v>
      </c>
      <c r="E55" s="17" t="s">
        <v>1473</v>
      </c>
      <c r="F55" s="18" t="n">
        <v>46367</v>
      </c>
      <c r="G55" s="17" t="s">
        <v>4</v>
      </c>
      <c r="H55" s="17"/>
    </row>
    <row r="56" customFormat="false" ht="15" hidden="false" customHeight="false" outlineLevel="0" collapsed="false">
      <c r="A56" s="17" t="s">
        <v>1524</v>
      </c>
      <c r="B56" s="17" t="s">
        <v>1525</v>
      </c>
      <c r="C56" s="17" t="s">
        <v>11</v>
      </c>
      <c r="D56" s="17" t="s">
        <v>4124</v>
      </c>
      <c r="E56" s="17" t="s">
        <v>1517</v>
      </c>
      <c r="F56" s="18" t="n">
        <v>46369</v>
      </c>
      <c r="G56" s="17" t="s">
        <v>3</v>
      </c>
      <c r="H56" s="17"/>
    </row>
    <row r="57" customFormat="false" ht="15" hidden="false" customHeight="false" outlineLevel="0" collapsed="false">
      <c r="A57" s="17" t="s">
        <v>3346</v>
      </c>
      <c r="B57" s="17" t="s">
        <v>667</v>
      </c>
      <c r="C57" s="17" t="s">
        <v>11</v>
      </c>
      <c r="D57" s="17" t="s">
        <v>4124</v>
      </c>
      <c r="E57" s="17" t="s">
        <v>1558</v>
      </c>
      <c r="F57" s="18" t="n">
        <v>46371</v>
      </c>
      <c r="G57" s="17" t="s">
        <v>4</v>
      </c>
      <c r="H57" s="17"/>
    </row>
    <row r="58" customFormat="false" ht="15" hidden="false" customHeight="false" outlineLevel="0" collapsed="false">
      <c r="A58" s="17" t="s">
        <v>1579</v>
      </c>
      <c r="B58" s="17" t="s">
        <v>1580</v>
      </c>
      <c r="C58" s="17" t="s">
        <v>11</v>
      </c>
      <c r="D58" s="17" t="s">
        <v>4124</v>
      </c>
      <c r="E58" s="17" t="s">
        <v>1571</v>
      </c>
      <c r="F58" s="18" t="n">
        <v>46372</v>
      </c>
      <c r="G58" s="17" t="s">
        <v>3</v>
      </c>
      <c r="H58" s="17"/>
    </row>
    <row r="59" customFormat="false" ht="15" hidden="false" customHeight="false" outlineLevel="0" collapsed="false">
      <c r="A59" s="17" t="s">
        <v>3168</v>
      </c>
      <c r="B59" s="17" t="s">
        <v>4165</v>
      </c>
      <c r="C59" s="17" t="s">
        <v>11</v>
      </c>
      <c r="D59" s="17" t="s">
        <v>4124</v>
      </c>
      <c r="E59" s="17" t="s">
        <v>1344</v>
      </c>
      <c r="F59" s="18" t="n">
        <v>46361</v>
      </c>
      <c r="G59" s="17" t="s">
        <v>4</v>
      </c>
      <c r="H59" s="17"/>
    </row>
    <row r="60" customFormat="false" ht="15" hidden="false" customHeight="false" outlineLevel="0" collapsed="false">
      <c r="A60" s="17" t="s">
        <v>3084</v>
      </c>
      <c r="B60" s="17" t="s">
        <v>4166</v>
      </c>
      <c r="C60" s="17" t="s">
        <v>11</v>
      </c>
      <c r="D60" s="17" t="s">
        <v>4124</v>
      </c>
      <c r="E60" s="17" t="s">
        <v>1239</v>
      </c>
      <c r="F60" s="18" t="n">
        <v>46356</v>
      </c>
      <c r="G60" s="17" t="s">
        <v>4</v>
      </c>
      <c r="H60" s="17"/>
    </row>
    <row r="61" customFormat="false" ht="15" hidden="false" customHeight="false" outlineLevel="0" collapsed="false">
      <c r="A61" s="17" t="s">
        <v>1051</v>
      </c>
      <c r="B61" s="17" t="s">
        <v>1052</v>
      </c>
      <c r="C61" s="17" t="s">
        <v>11</v>
      </c>
      <c r="D61" s="17" t="s">
        <v>4124</v>
      </c>
      <c r="E61" s="17" t="s">
        <v>1043</v>
      </c>
      <c r="F61" s="18" t="n">
        <v>46347</v>
      </c>
      <c r="G61" s="17" t="s">
        <v>4</v>
      </c>
      <c r="H61" s="17"/>
    </row>
    <row r="62" customFormat="false" ht="15" hidden="false" customHeight="false" outlineLevel="0" collapsed="false">
      <c r="A62" s="17" t="s">
        <v>1674</v>
      </c>
      <c r="B62" s="17" t="s">
        <v>1675</v>
      </c>
      <c r="C62" s="17" t="s">
        <v>11</v>
      </c>
      <c r="D62" s="17" t="s">
        <v>4124</v>
      </c>
      <c r="E62" s="17" t="s">
        <v>1667</v>
      </c>
      <c r="F62" s="18" t="n">
        <v>46376</v>
      </c>
      <c r="G62" s="17" t="s">
        <v>3</v>
      </c>
      <c r="H62" s="17"/>
    </row>
    <row r="63" customFormat="false" ht="15" hidden="false" customHeight="false" outlineLevel="0" collapsed="false">
      <c r="A63" s="17" t="s">
        <v>1718</v>
      </c>
      <c r="B63" s="17" t="s">
        <v>1719</v>
      </c>
      <c r="C63" s="17" t="s">
        <v>11</v>
      </c>
      <c r="D63" s="17" t="s">
        <v>4124</v>
      </c>
      <c r="E63" s="17" t="s">
        <v>1710</v>
      </c>
      <c r="F63" s="18" t="n">
        <v>46378</v>
      </c>
      <c r="G63" s="17" t="s">
        <v>3</v>
      </c>
      <c r="H63" s="17"/>
    </row>
    <row r="64" customFormat="false" ht="15" hidden="false" customHeight="false" outlineLevel="0" collapsed="false">
      <c r="A64" s="17" t="s">
        <v>2790</v>
      </c>
      <c r="B64" s="17" t="s">
        <v>4167</v>
      </c>
      <c r="C64" s="17" t="s">
        <v>11</v>
      </c>
      <c r="D64" s="17" t="s">
        <v>4124</v>
      </c>
      <c r="E64" s="17" t="s">
        <v>830</v>
      </c>
      <c r="F64" s="18" t="n">
        <v>46337</v>
      </c>
      <c r="G64" s="17" t="s">
        <v>4</v>
      </c>
      <c r="H64" s="17"/>
    </row>
    <row r="65" customFormat="false" ht="15" hidden="false" customHeight="false" outlineLevel="0" collapsed="false">
      <c r="A65" s="17" t="s">
        <v>1805</v>
      </c>
      <c r="B65" s="17" t="s">
        <v>1806</v>
      </c>
      <c r="C65" s="17" t="s">
        <v>11</v>
      </c>
      <c r="D65" s="17" t="s">
        <v>4124</v>
      </c>
      <c r="E65" s="17" t="s">
        <v>1797</v>
      </c>
      <c r="F65" s="18" t="n">
        <v>46382</v>
      </c>
      <c r="G65" s="17" t="s">
        <v>3</v>
      </c>
      <c r="H65" s="17"/>
    </row>
    <row r="66" customFormat="false" ht="15" hidden="false" customHeight="false" outlineLevel="0" collapsed="false">
      <c r="A66" s="17" t="s">
        <v>4168</v>
      </c>
      <c r="B66" s="17" t="s">
        <v>4169</v>
      </c>
      <c r="C66" s="17" t="s">
        <v>11</v>
      </c>
      <c r="D66" s="19" t="s">
        <v>4140</v>
      </c>
      <c r="E66" s="17"/>
      <c r="F66" s="18"/>
      <c r="G66" s="17"/>
      <c r="H66" s="17" t="s">
        <v>4170</v>
      </c>
    </row>
    <row r="67" customFormat="false" ht="15" hidden="false" customHeight="false" outlineLevel="0" collapsed="false">
      <c r="A67" s="17" t="s">
        <v>4171</v>
      </c>
      <c r="B67" s="17" t="s">
        <v>4172</v>
      </c>
      <c r="C67" s="17" t="s">
        <v>11</v>
      </c>
      <c r="D67" s="19" t="s">
        <v>4140</v>
      </c>
      <c r="E67" s="17"/>
      <c r="F67" s="18"/>
      <c r="G67" s="17"/>
      <c r="H67" s="17" t="s">
        <v>4173</v>
      </c>
    </row>
    <row r="68" customFormat="false" ht="15" hidden="false" customHeight="false" outlineLevel="0" collapsed="false">
      <c r="A68" s="17" t="s">
        <v>1815</v>
      </c>
      <c r="B68" s="17" t="s">
        <v>1816</v>
      </c>
      <c r="C68" s="17" t="s">
        <v>11</v>
      </c>
      <c r="D68" s="17" t="s">
        <v>4124</v>
      </c>
      <c r="E68" s="17" t="s">
        <v>1808</v>
      </c>
      <c r="F68" s="18" t="n">
        <v>46383</v>
      </c>
      <c r="G68" s="17" t="s">
        <v>3</v>
      </c>
      <c r="H68" s="17"/>
    </row>
    <row r="69" customFormat="false" ht="15" hidden="false" customHeight="false" outlineLevel="0" collapsed="false">
      <c r="A69" s="17" t="s">
        <v>1867</v>
      </c>
      <c r="B69" s="17" t="s">
        <v>1868</v>
      </c>
      <c r="C69" s="17" t="s">
        <v>11</v>
      </c>
      <c r="D69" s="17" t="s">
        <v>4124</v>
      </c>
      <c r="E69" s="17" t="s">
        <v>1859</v>
      </c>
      <c r="F69" s="18" t="n">
        <v>46385</v>
      </c>
      <c r="G69" s="17" t="s">
        <v>3</v>
      </c>
      <c r="H69" s="17"/>
    </row>
    <row r="70" customFormat="false" ht="15" hidden="false" customHeight="false" outlineLevel="0" collapsed="false">
      <c r="A70" s="17" t="s">
        <v>3249</v>
      </c>
      <c r="B70" s="17" t="s">
        <v>4174</v>
      </c>
      <c r="C70" s="17" t="s">
        <v>11</v>
      </c>
      <c r="D70" s="17" t="s">
        <v>4124</v>
      </c>
      <c r="E70" s="17" t="s">
        <v>1473</v>
      </c>
      <c r="F70" s="18" t="n">
        <v>46367</v>
      </c>
      <c r="G70" s="17" t="s">
        <v>4</v>
      </c>
      <c r="H70" s="17"/>
    </row>
    <row r="71" customFormat="false" ht="15" hidden="false" customHeight="false" outlineLevel="0" collapsed="false">
      <c r="A71" s="17" t="s">
        <v>4175</v>
      </c>
      <c r="B71" s="17" t="s">
        <v>4176</v>
      </c>
      <c r="C71" s="17" t="s">
        <v>11</v>
      </c>
      <c r="D71" s="19" t="s">
        <v>4140</v>
      </c>
      <c r="E71" s="17"/>
      <c r="F71" s="18"/>
      <c r="G71" s="17"/>
      <c r="H71" s="17" t="s">
        <v>4177</v>
      </c>
    </row>
    <row r="72" customFormat="false" ht="15" hidden="false" customHeight="false" outlineLevel="0" collapsed="false">
      <c r="A72" s="17" t="s">
        <v>4178</v>
      </c>
      <c r="B72" s="17" t="s">
        <v>4179</v>
      </c>
      <c r="C72" s="17" t="s">
        <v>11</v>
      </c>
      <c r="D72" s="19" t="s">
        <v>4140</v>
      </c>
      <c r="E72" s="17"/>
      <c r="F72" s="18"/>
      <c r="G72" s="17"/>
      <c r="H72" s="17" t="s">
        <v>4180</v>
      </c>
    </row>
    <row r="73" customFormat="false" ht="15" hidden="false" customHeight="false" outlineLevel="0" collapsed="false">
      <c r="A73" s="17" t="s">
        <v>1950</v>
      </c>
      <c r="B73" s="17" t="s">
        <v>1951</v>
      </c>
      <c r="C73" s="17" t="s">
        <v>11</v>
      </c>
      <c r="D73" s="17" t="s">
        <v>4124</v>
      </c>
      <c r="E73" s="17" t="s">
        <v>1942</v>
      </c>
      <c r="F73" s="18" t="n">
        <v>46389</v>
      </c>
      <c r="G73" s="17" t="s">
        <v>3</v>
      </c>
      <c r="H73" s="17"/>
    </row>
    <row r="74" customFormat="false" ht="15" hidden="false" customHeight="false" outlineLevel="0" collapsed="false">
      <c r="A74" s="17" t="s">
        <v>4018</v>
      </c>
      <c r="B74" s="17" t="s">
        <v>4181</v>
      </c>
      <c r="C74" s="17" t="s">
        <v>11</v>
      </c>
      <c r="D74" s="17" t="s">
        <v>4124</v>
      </c>
      <c r="E74" s="17" t="s">
        <v>1613</v>
      </c>
      <c r="F74" s="18" t="n">
        <v>46374</v>
      </c>
      <c r="G74" s="17" t="s">
        <v>5</v>
      </c>
      <c r="H74" s="17"/>
    </row>
    <row r="75" customFormat="false" ht="15" hidden="false" customHeight="false" outlineLevel="0" collapsed="false">
      <c r="A75" s="17" t="s">
        <v>4182</v>
      </c>
      <c r="B75" s="17" t="s">
        <v>4183</v>
      </c>
      <c r="C75" s="17" t="s">
        <v>11</v>
      </c>
      <c r="D75" s="19" t="s">
        <v>4140</v>
      </c>
      <c r="E75" s="17"/>
      <c r="F75" s="18"/>
      <c r="G75" s="17"/>
      <c r="H75" s="17" t="s">
        <v>4184</v>
      </c>
    </row>
    <row r="76" customFormat="false" ht="15" hidden="false" customHeight="false" outlineLevel="0" collapsed="false">
      <c r="A76" s="17" t="s">
        <v>4056</v>
      </c>
      <c r="B76" s="17" t="s">
        <v>4185</v>
      </c>
      <c r="C76" s="17" t="s">
        <v>11</v>
      </c>
      <c r="D76" s="17" t="s">
        <v>4124</v>
      </c>
      <c r="E76" s="17" t="s">
        <v>1870</v>
      </c>
      <c r="F76" s="18" t="n">
        <v>46386</v>
      </c>
      <c r="G76" s="17" t="s">
        <v>5</v>
      </c>
      <c r="H76" s="17"/>
    </row>
    <row r="77" customFormat="false" ht="15" hidden="false" customHeight="false" outlineLevel="0" collapsed="false">
      <c r="A77" s="17" t="s">
        <v>2801</v>
      </c>
      <c r="B77" s="17" t="s">
        <v>4167</v>
      </c>
      <c r="C77" s="17" t="s">
        <v>11</v>
      </c>
      <c r="D77" s="17" t="s">
        <v>4124</v>
      </c>
      <c r="E77" s="17" t="s">
        <v>830</v>
      </c>
      <c r="F77" s="18" t="n">
        <v>46337</v>
      </c>
      <c r="G77" s="17" t="s">
        <v>4</v>
      </c>
      <c r="H77" s="17"/>
    </row>
    <row r="78" customFormat="false" ht="15" hidden="false" customHeight="false" outlineLevel="0" collapsed="false">
      <c r="A78" s="17" t="s">
        <v>1997</v>
      </c>
      <c r="B78" s="17" t="s">
        <v>1998</v>
      </c>
      <c r="C78" s="17" t="s">
        <v>11</v>
      </c>
      <c r="D78" s="17" t="s">
        <v>4124</v>
      </c>
      <c r="E78" s="17" t="s">
        <v>1989</v>
      </c>
      <c r="F78" s="18" t="n">
        <v>46391</v>
      </c>
      <c r="G78" s="17" t="s">
        <v>3</v>
      </c>
      <c r="H78" s="17"/>
    </row>
    <row r="79" customFormat="false" ht="15" hidden="false" customHeight="false" outlineLevel="0" collapsed="false">
      <c r="A79" s="17" t="s">
        <v>785</v>
      </c>
      <c r="B79" s="17" t="s">
        <v>786</v>
      </c>
      <c r="C79" s="17" t="s">
        <v>11</v>
      </c>
      <c r="D79" s="17" t="s">
        <v>4124</v>
      </c>
      <c r="E79" s="17" t="s">
        <v>778</v>
      </c>
      <c r="F79" s="18" t="n">
        <v>46334</v>
      </c>
      <c r="G79" s="17" t="s">
        <v>3</v>
      </c>
      <c r="H79" s="17"/>
    </row>
    <row r="80" customFormat="false" ht="15" hidden="false" customHeight="false" outlineLevel="0" collapsed="false">
      <c r="A80" s="17" t="s">
        <v>4186</v>
      </c>
      <c r="B80" s="17" t="s">
        <v>4187</v>
      </c>
      <c r="C80" s="17" t="s">
        <v>11</v>
      </c>
      <c r="D80" s="19" t="s">
        <v>4140</v>
      </c>
      <c r="E80" s="17"/>
      <c r="F80" s="18"/>
      <c r="G80" s="17"/>
      <c r="H80" s="17" t="s">
        <v>4177</v>
      </c>
    </row>
    <row r="81" customFormat="false" ht="15" hidden="false" customHeight="false" outlineLevel="0" collapsed="false">
      <c r="A81" s="17" t="s">
        <v>4188</v>
      </c>
      <c r="B81" s="17" t="s">
        <v>4189</v>
      </c>
      <c r="C81" s="17" t="s">
        <v>11</v>
      </c>
      <c r="D81" s="19" t="s">
        <v>4140</v>
      </c>
      <c r="E81" s="17"/>
      <c r="F81" s="18"/>
      <c r="G81" s="17"/>
      <c r="H81" s="17" t="s">
        <v>4190</v>
      </c>
    </row>
    <row r="82" customFormat="false" ht="15" hidden="false" customHeight="false" outlineLevel="0" collapsed="false">
      <c r="A82" s="17" t="s">
        <v>4191</v>
      </c>
      <c r="B82" s="17" t="s">
        <v>4192</v>
      </c>
      <c r="C82" s="17" t="s">
        <v>11</v>
      </c>
      <c r="D82" s="19" t="s">
        <v>4140</v>
      </c>
      <c r="E82" s="17"/>
      <c r="F82" s="18"/>
      <c r="G82" s="17"/>
      <c r="H82" s="17" t="s">
        <v>4193</v>
      </c>
    </row>
    <row r="83" customFormat="false" ht="15" hidden="false" customHeight="false" outlineLevel="0" collapsed="false">
      <c r="A83" s="17" t="s">
        <v>2050</v>
      </c>
      <c r="B83" s="17" t="s">
        <v>2051</v>
      </c>
      <c r="C83" s="17" t="s">
        <v>11</v>
      </c>
      <c r="D83" s="17" t="s">
        <v>4124</v>
      </c>
      <c r="E83" s="17" t="s">
        <v>2043</v>
      </c>
      <c r="F83" s="18" t="n">
        <v>46394</v>
      </c>
      <c r="G83" s="17" t="s">
        <v>3</v>
      </c>
      <c r="H83" s="17"/>
    </row>
    <row r="84" customFormat="false" ht="15" hidden="false" customHeight="false" outlineLevel="0" collapsed="false">
      <c r="A84" s="17" t="s">
        <v>4194</v>
      </c>
      <c r="B84" s="17" t="s">
        <v>4195</v>
      </c>
      <c r="C84" s="17" t="s">
        <v>11</v>
      </c>
      <c r="D84" s="19" t="s">
        <v>4140</v>
      </c>
      <c r="E84" s="17"/>
      <c r="F84" s="18"/>
      <c r="G84" s="17"/>
      <c r="H84" s="17" t="s">
        <v>4184</v>
      </c>
    </row>
    <row r="85" customFormat="false" ht="15" hidden="false" customHeight="false" outlineLevel="0" collapsed="false">
      <c r="A85" s="17" t="s">
        <v>2081</v>
      </c>
      <c r="B85" s="17" t="s">
        <v>2082</v>
      </c>
      <c r="C85" s="17" t="s">
        <v>11</v>
      </c>
      <c r="D85" s="17" t="s">
        <v>4124</v>
      </c>
      <c r="E85" s="17" t="s">
        <v>2074</v>
      </c>
      <c r="F85" s="18" t="n">
        <v>46395</v>
      </c>
      <c r="G85" s="17" t="s">
        <v>3</v>
      </c>
      <c r="H85" s="17"/>
    </row>
    <row r="86" customFormat="false" ht="15" hidden="false" customHeight="false" outlineLevel="0" collapsed="false">
      <c r="A86" s="17" t="s">
        <v>3709</v>
      </c>
      <c r="B86" s="17" t="s">
        <v>4196</v>
      </c>
      <c r="C86" s="17" t="s">
        <v>11</v>
      </c>
      <c r="D86" s="17" t="s">
        <v>4124</v>
      </c>
      <c r="E86" s="17" t="s">
        <v>2064</v>
      </c>
      <c r="F86" s="18" t="n">
        <v>46395</v>
      </c>
      <c r="G86" s="17" t="s">
        <v>4</v>
      </c>
      <c r="H86" s="17"/>
    </row>
    <row r="87" customFormat="false" ht="15" hidden="false" customHeight="false" outlineLevel="0" collapsed="false">
      <c r="A87" s="17" t="s">
        <v>609</v>
      </c>
      <c r="B87" s="17" t="s">
        <v>610</v>
      </c>
      <c r="C87" s="17" t="s">
        <v>11</v>
      </c>
      <c r="D87" s="17" t="s">
        <v>4124</v>
      </c>
      <c r="E87" s="17" t="s">
        <v>601</v>
      </c>
      <c r="F87" s="18" t="n">
        <v>46326</v>
      </c>
      <c r="G87" s="17" t="s">
        <v>4</v>
      </c>
      <c r="H87" s="17"/>
    </row>
    <row r="88" customFormat="false" ht="15" hidden="false" customHeight="false" outlineLevel="0" collapsed="false">
      <c r="A88" s="17" t="s">
        <v>2645</v>
      </c>
      <c r="B88" s="17" t="s">
        <v>4197</v>
      </c>
      <c r="C88" s="17" t="s">
        <v>11</v>
      </c>
      <c r="D88" s="17" t="s">
        <v>4124</v>
      </c>
      <c r="E88" s="17" t="s">
        <v>568</v>
      </c>
      <c r="F88" s="18" t="n">
        <v>46324</v>
      </c>
      <c r="G88" s="17" t="s">
        <v>4</v>
      </c>
      <c r="H88" s="17"/>
    </row>
    <row r="89" customFormat="false" ht="15" hidden="false" customHeight="false" outlineLevel="0" collapsed="false">
      <c r="A89" s="17" t="s">
        <v>2123</v>
      </c>
      <c r="B89" s="17" t="s">
        <v>2124</v>
      </c>
      <c r="C89" s="17" t="s">
        <v>11</v>
      </c>
      <c r="D89" s="17" t="s">
        <v>4124</v>
      </c>
      <c r="E89" s="17" t="s">
        <v>2116</v>
      </c>
      <c r="F89" s="18" t="n">
        <v>46397</v>
      </c>
      <c r="G89" s="17" t="s">
        <v>3</v>
      </c>
      <c r="H89" s="17"/>
    </row>
    <row r="90" customFormat="false" ht="15" hidden="false" customHeight="false" outlineLevel="0" collapsed="false">
      <c r="A90" s="17" t="s">
        <v>2608</v>
      </c>
      <c r="B90" s="17" t="s">
        <v>4198</v>
      </c>
      <c r="C90" s="17" t="s">
        <v>11</v>
      </c>
      <c r="D90" s="17" t="s">
        <v>4124</v>
      </c>
      <c r="E90" s="17" t="s">
        <v>548</v>
      </c>
      <c r="F90" s="18" t="n">
        <v>46323</v>
      </c>
      <c r="G90" s="17" t="s">
        <v>4</v>
      </c>
      <c r="H90" s="17"/>
    </row>
    <row r="91" customFormat="false" ht="15" hidden="false" customHeight="false" outlineLevel="0" collapsed="false">
      <c r="A91" s="17" t="s">
        <v>2145</v>
      </c>
      <c r="B91" s="17" t="s">
        <v>2146</v>
      </c>
      <c r="C91" s="17" t="s">
        <v>11</v>
      </c>
      <c r="D91" s="17" t="s">
        <v>4124</v>
      </c>
      <c r="E91" s="17" t="s">
        <v>2137</v>
      </c>
      <c r="F91" s="18" t="n">
        <v>46398</v>
      </c>
      <c r="G91" s="17" t="s">
        <v>3</v>
      </c>
      <c r="H91" s="17"/>
    </row>
    <row r="92" customFormat="false" ht="15" hidden="false" customHeight="false" outlineLevel="0" collapsed="false">
      <c r="A92" s="17" t="s">
        <v>2204</v>
      </c>
      <c r="B92" s="17" t="s">
        <v>2205</v>
      </c>
      <c r="C92" s="17" t="s">
        <v>11</v>
      </c>
      <c r="D92" s="17" t="s">
        <v>4124</v>
      </c>
      <c r="E92" s="17" t="s">
        <v>2196</v>
      </c>
      <c r="F92" s="18" t="n">
        <v>46401</v>
      </c>
      <c r="G92" s="17" t="s">
        <v>3</v>
      </c>
      <c r="H92" s="17"/>
    </row>
    <row r="93" customFormat="false" ht="15" hidden="false" customHeight="false" outlineLevel="0" collapsed="false">
      <c r="A93" s="17" t="s">
        <v>2979</v>
      </c>
      <c r="B93" s="17" t="s">
        <v>4199</v>
      </c>
      <c r="C93" s="17" t="s">
        <v>11</v>
      </c>
      <c r="D93" s="17" t="s">
        <v>4124</v>
      </c>
      <c r="E93" s="17" t="s">
        <v>1076</v>
      </c>
      <c r="F93" s="18" t="n">
        <v>46348</v>
      </c>
      <c r="G93" s="17" t="s">
        <v>4</v>
      </c>
      <c r="H93" s="17"/>
    </row>
    <row r="94" customFormat="false" ht="15" hidden="false" customHeight="false" outlineLevel="0" collapsed="false">
      <c r="A94" s="17" t="s">
        <v>3039</v>
      </c>
      <c r="B94" s="17" t="s">
        <v>4200</v>
      </c>
      <c r="C94" s="17" t="s">
        <v>10</v>
      </c>
      <c r="D94" s="17" t="s">
        <v>4124</v>
      </c>
      <c r="E94" s="17" t="s">
        <v>1166</v>
      </c>
      <c r="F94" s="18" t="n">
        <v>46353</v>
      </c>
      <c r="G94" s="17" t="s">
        <v>4</v>
      </c>
      <c r="H94" s="17"/>
    </row>
    <row r="95" customFormat="false" ht="15" hidden="false" customHeight="false" outlineLevel="0" collapsed="false">
      <c r="A95" s="17" t="s">
        <v>3097</v>
      </c>
      <c r="B95" s="17" t="s">
        <v>4201</v>
      </c>
      <c r="C95" s="17" t="s">
        <v>10</v>
      </c>
      <c r="D95" s="17" t="s">
        <v>4124</v>
      </c>
      <c r="E95" s="17" t="s">
        <v>1239</v>
      </c>
      <c r="F95" s="18" t="n">
        <v>46356</v>
      </c>
      <c r="G95" s="17" t="s">
        <v>4</v>
      </c>
      <c r="H95" s="17"/>
    </row>
    <row r="96" customFormat="false" ht="15" hidden="false" customHeight="false" outlineLevel="0" collapsed="false">
      <c r="A96" s="17" t="s">
        <v>4202</v>
      </c>
      <c r="B96" s="17" t="s">
        <v>4203</v>
      </c>
      <c r="C96" s="17" t="s">
        <v>10</v>
      </c>
      <c r="D96" s="19" t="s">
        <v>4140</v>
      </c>
      <c r="E96" s="17"/>
      <c r="F96" s="18"/>
      <c r="G96" s="17"/>
      <c r="H96" s="17" t="s">
        <v>4204</v>
      </c>
    </row>
    <row r="97" customFormat="false" ht="15" hidden="false" customHeight="false" outlineLevel="0" collapsed="false">
      <c r="A97" s="17" t="s">
        <v>3955</v>
      </c>
      <c r="B97" s="17" t="s">
        <v>4205</v>
      </c>
      <c r="C97" s="17" t="s">
        <v>10</v>
      </c>
      <c r="D97" s="17" t="s">
        <v>4124</v>
      </c>
      <c r="E97" s="17" t="s">
        <v>1249</v>
      </c>
      <c r="F97" s="18" t="n">
        <v>46357</v>
      </c>
      <c r="G97" s="17" t="s">
        <v>5</v>
      </c>
      <c r="H97" s="17"/>
    </row>
    <row r="98" customFormat="false" ht="15" hidden="false" customHeight="false" outlineLevel="0" collapsed="false">
      <c r="A98" s="17" t="s">
        <v>3131</v>
      </c>
      <c r="B98" s="17" t="s">
        <v>4206</v>
      </c>
      <c r="C98" s="17" t="s">
        <v>10</v>
      </c>
      <c r="D98" s="17" t="s">
        <v>4124</v>
      </c>
      <c r="E98" s="17" t="s">
        <v>1313</v>
      </c>
      <c r="F98" s="18" t="n">
        <v>46360</v>
      </c>
      <c r="G98" s="17" t="s">
        <v>4</v>
      </c>
      <c r="H98" s="17"/>
    </row>
    <row r="99" customFormat="false" ht="15" hidden="false" customHeight="false" outlineLevel="0" collapsed="false">
      <c r="A99" s="17" t="s">
        <v>2881</v>
      </c>
      <c r="B99" s="17" t="s">
        <v>4207</v>
      </c>
      <c r="C99" s="17" t="s">
        <v>10</v>
      </c>
      <c r="D99" s="17" t="s">
        <v>4124</v>
      </c>
      <c r="E99" s="17" t="s">
        <v>947</v>
      </c>
      <c r="F99" s="18" t="n">
        <v>46342</v>
      </c>
      <c r="G99" s="17" t="s">
        <v>4</v>
      </c>
      <c r="H99" s="17"/>
    </row>
    <row r="100" customFormat="false" ht="15" hidden="false" customHeight="false" outlineLevel="0" collapsed="false">
      <c r="A100" s="17" t="s">
        <v>4208</v>
      </c>
      <c r="B100" s="17" t="s">
        <v>4209</v>
      </c>
      <c r="C100" s="17" t="s">
        <v>10</v>
      </c>
      <c r="D100" s="19" t="s">
        <v>4140</v>
      </c>
      <c r="E100" s="17"/>
      <c r="F100" s="18"/>
      <c r="G100" s="17"/>
      <c r="H100" s="17" t="s">
        <v>4210</v>
      </c>
    </row>
    <row r="101" customFormat="false" ht="15" hidden="false" customHeight="false" outlineLevel="0" collapsed="false">
      <c r="A101" s="17" t="s">
        <v>3421</v>
      </c>
      <c r="B101" s="17" t="s">
        <v>4211</v>
      </c>
      <c r="C101" s="17" t="s">
        <v>10</v>
      </c>
      <c r="D101" s="17" t="s">
        <v>4124</v>
      </c>
      <c r="E101" s="17" t="s">
        <v>1677</v>
      </c>
      <c r="F101" s="18" t="n">
        <v>46377</v>
      </c>
      <c r="G101" s="17" t="s">
        <v>4</v>
      </c>
      <c r="H101" s="17"/>
    </row>
    <row r="102" customFormat="false" ht="15" hidden="false" customHeight="false" outlineLevel="0" collapsed="false">
      <c r="A102" s="17" t="s">
        <v>2102</v>
      </c>
      <c r="B102" s="17" t="s">
        <v>2103</v>
      </c>
      <c r="C102" s="17" t="s">
        <v>10</v>
      </c>
      <c r="D102" s="17" t="s">
        <v>4124</v>
      </c>
      <c r="E102" s="17" t="s">
        <v>2094</v>
      </c>
      <c r="F102" s="18" t="n">
        <v>46396</v>
      </c>
      <c r="G102" s="17" t="s">
        <v>3</v>
      </c>
      <c r="H102" s="17"/>
    </row>
    <row r="103" customFormat="false" ht="15" hidden="false" customHeight="false" outlineLevel="0" collapsed="false">
      <c r="A103" s="17" t="s">
        <v>2970</v>
      </c>
      <c r="B103" s="17" t="s">
        <v>4161</v>
      </c>
      <c r="C103" s="17" t="s">
        <v>10</v>
      </c>
      <c r="D103" s="17" t="s">
        <v>4124</v>
      </c>
      <c r="E103" s="17" t="s">
        <v>1076</v>
      </c>
      <c r="F103" s="18" t="n">
        <v>46348</v>
      </c>
      <c r="G103" s="17" t="s">
        <v>4</v>
      </c>
      <c r="H103" s="17"/>
    </row>
    <row r="104" customFormat="false" ht="15" hidden="false" customHeight="false" outlineLevel="0" collapsed="false">
      <c r="A104" s="17" t="s">
        <v>1269</v>
      </c>
      <c r="B104" s="17" t="s">
        <v>1270</v>
      </c>
      <c r="C104" s="17" t="s">
        <v>10</v>
      </c>
      <c r="D104" s="17" t="s">
        <v>4124</v>
      </c>
      <c r="E104" s="17" t="s">
        <v>1261</v>
      </c>
      <c r="F104" s="18" t="n">
        <v>46357</v>
      </c>
      <c r="G104" s="17" t="s">
        <v>3</v>
      </c>
      <c r="H104" s="17"/>
    </row>
    <row r="105" customFormat="false" ht="15" hidden="false" customHeight="false" outlineLevel="0" collapsed="false">
      <c r="A105" s="17" t="s">
        <v>3330</v>
      </c>
      <c r="B105" s="17" t="s">
        <v>4212</v>
      </c>
      <c r="C105" s="17" t="s">
        <v>10</v>
      </c>
      <c r="D105" s="17" t="s">
        <v>4124</v>
      </c>
      <c r="E105" s="17" t="s">
        <v>1558</v>
      </c>
      <c r="F105" s="18" t="n">
        <v>46371</v>
      </c>
      <c r="G105" s="17" t="s">
        <v>4</v>
      </c>
      <c r="H105" s="17"/>
    </row>
    <row r="106" customFormat="false" ht="15" hidden="false" customHeight="false" outlineLevel="0" collapsed="false">
      <c r="A106" s="17" t="s">
        <v>4002</v>
      </c>
      <c r="B106" s="17" t="s">
        <v>4199</v>
      </c>
      <c r="C106" s="17" t="s">
        <v>10</v>
      </c>
      <c r="D106" s="17" t="s">
        <v>4124</v>
      </c>
      <c r="E106" s="17" t="s">
        <v>1506</v>
      </c>
      <c r="F106" s="18" t="n">
        <v>46369</v>
      </c>
      <c r="G106" s="17" t="s">
        <v>5</v>
      </c>
      <c r="H106" s="17"/>
    </row>
    <row r="107" customFormat="false" ht="15" hidden="false" customHeight="false" outlineLevel="0" collapsed="false">
      <c r="A107" s="17" t="s">
        <v>1373</v>
      </c>
      <c r="B107" s="17" t="s">
        <v>1374</v>
      </c>
      <c r="C107" s="17" t="s">
        <v>10</v>
      </c>
      <c r="D107" s="17" t="s">
        <v>4124</v>
      </c>
      <c r="E107" s="17" t="s">
        <v>1365</v>
      </c>
      <c r="F107" s="18" t="n">
        <v>46362</v>
      </c>
      <c r="G107" s="17" t="s">
        <v>3</v>
      </c>
      <c r="H107" s="17"/>
    </row>
    <row r="108" customFormat="false" ht="15" hidden="false" customHeight="false" outlineLevel="0" collapsed="false">
      <c r="A108" s="17" t="s">
        <v>2358</v>
      </c>
      <c r="B108" s="17" t="s">
        <v>4213</v>
      </c>
      <c r="C108" s="17" t="s">
        <v>10</v>
      </c>
      <c r="D108" s="17" t="s">
        <v>4124</v>
      </c>
      <c r="E108" s="17" t="s">
        <v>256</v>
      </c>
      <c r="F108" s="18" t="n">
        <v>46310</v>
      </c>
      <c r="G108" s="17" t="s">
        <v>4</v>
      </c>
      <c r="H108" s="17"/>
    </row>
    <row r="109" customFormat="false" ht="15" hidden="false" customHeight="false" outlineLevel="0" collapsed="false">
      <c r="A109" s="17" t="s">
        <v>252</v>
      </c>
      <c r="B109" s="17" t="s">
        <v>253</v>
      </c>
      <c r="C109" s="17" t="s">
        <v>10</v>
      </c>
      <c r="D109" s="17" t="s">
        <v>4124</v>
      </c>
      <c r="E109" s="17" t="s">
        <v>245</v>
      </c>
      <c r="F109" s="18" t="n">
        <v>46309</v>
      </c>
      <c r="G109" s="17" t="s">
        <v>3</v>
      </c>
      <c r="H109" s="17"/>
    </row>
    <row r="110" customFormat="false" ht="15" hidden="false" customHeight="false" outlineLevel="0" collapsed="false">
      <c r="A110" s="17" t="s">
        <v>1438</v>
      </c>
      <c r="B110" s="17" t="s">
        <v>1439</v>
      </c>
      <c r="C110" s="17" t="s">
        <v>10</v>
      </c>
      <c r="D110" s="17" t="s">
        <v>4124</v>
      </c>
      <c r="E110" s="17" t="s">
        <v>1431</v>
      </c>
      <c r="F110" s="18" t="n">
        <v>46365</v>
      </c>
      <c r="G110" s="17" t="s">
        <v>3</v>
      </c>
      <c r="H110" s="17"/>
    </row>
    <row r="111" customFormat="false" ht="15" hidden="false" customHeight="false" outlineLevel="0" collapsed="false">
      <c r="A111" s="17" t="s">
        <v>1503</v>
      </c>
      <c r="B111" s="17" t="s">
        <v>1504</v>
      </c>
      <c r="C111" s="17" t="s">
        <v>10</v>
      </c>
      <c r="D111" s="17" t="s">
        <v>4124</v>
      </c>
      <c r="E111" s="17" t="s">
        <v>1495</v>
      </c>
      <c r="F111" s="18" t="n">
        <v>46368</v>
      </c>
      <c r="G111" s="17" t="s">
        <v>3</v>
      </c>
      <c r="H111" s="17"/>
    </row>
    <row r="112" customFormat="false" ht="15" hidden="false" customHeight="false" outlineLevel="0" collapsed="false">
      <c r="A112" s="17" t="s">
        <v>110</v>
      </c>
      <c r="B112" s="17" t="s">
        <v>111</v>
      </c>
      <c r="C112" s="17" t="s">
        <v>10</v>
      </c>
      <c r="D112" s="17" t="s">
        <v>4124</v>
      </c>
      <c r="E112" s="17" t="s">
        <v>102</v>
      </c>
      <c r="F112" s="18" t="n">
        <v>46303</v>
      </c>
      <c r="G112" s="17" t="s">
        <v>3</v>
      </c>
      <c r="H112" s="17"/>
    </row>
    <row r="113" customFormat="false" ht="15" hidden="false" customHeight="false" outlineLevel="0" collapsed="false">
      <c r="A113" s="17" t="s">
        <v>4044</v>
      </c>
      <c r="B113" s="17" t="s">
        <v>4214</v>
      </c>
      <c r="C113" s="17" t="s">
        <v>10</v>
      </c>
      <c r="D113" s="17" t="s">
        <v>4124</v>
      </c>
      <c r="E113" s="17" t="s">
        <v>1775</v>
      </c>
      <c r="F113" s="18" t="n">
        <v>46381</v>
      </c>
      <c r="G113" s="17" t="s">
        <v>5</v>
      </c>
      <c r="H113" s="17"/>
    </row>
    <row r="114" customFormat="false" ht="15" hidden="false" customHeight="false" outlineLevel="0" collapsed="false">
      <c r="A114" s="17" t="s">
        <v>4078</v>
      </c>
      <c r="B114" s="17" t="s">
        <v>4215</v>
      </c>
      <c r="C114" s="17" t="s">
        <v>10</v>
      </c>
      <c r="D114" s="17" t="s">
        <v>4124</v>
      </c>
      <c r="E114" s="17" t="s">
        <v>2031</v>
      </c>
      <c r="F114" s="18" t="n">
        <v>46393</v>
      </c>
      <c r="G114" s="17" t="s">
        <v>5</v>
      </c>
      <c r="H114" s="17"/>
    </row>
    <row r="115" customFormat="false" ht="15" hidden="false" customHeight="false" outlineLevel="0" collapsed="false">
      <c r="A115" s="17" t="s">
        <v>4216</v>
      </c>
      <c r="B115" s="17" t="s">
        <v>4217</v>
      </c>
      <c r="C115" s="17" t="s">
        <v>10</v>
      </c>
      <c r="D115" s="19" t="s">
        <v>4140</v>
      </c>
      <c r="E115" s="17"/>
      <c r="F115" s="18"/>
      <c r="G115" s="17"/>
      <c r="H115" s="17" t="s">
        <v>4218</v>
      </c>
    </row>
    <row r="116" customFormat="false" ht="15" hidden="false" customHeight="false" outlineLevel="0" collapsed="false">
      <c r="A116" s="17" t="s">
        <v>1794</v>
      </c>
      <c r="B116" s="17" t="s">
        <v>1795</v>
      </c>
      <c r="C116" s="17" t="s">
        <v>10</v>
      </c>
      <c r="D116" s="17" t="s">
        <v>4124</v>
      </c>
      <c r="E116" s="17" t="s">
        <v>1787</v>
      </c>
      <c r="F116" s="18" t="n">
        <v>46382</v>
      </c>
      <c r="G116" s="17" t="s">
        <v>4</v>
      </c>
      <c r="H116" s="17"/>
    </row>
    <row r="117" customFormat="false" ht="15" hidden="false" customHeight="false" outlineLevel="0" collapsed="false">
      <c r="A117" s="17" t="s">
        <v>1928</v>
      </c>
      <c r="B117" s="17" t="s">
        <v>1929</v>
      </c>
      <c r="C117" s="17" t="s">
        <v>10</v>
      </c>
      <c r="D117" s="17" t="s">
        <v>4124</v>
      </c>
      <c r="E117" s="17" t="s">
        <v>1920</v>
      </c>
      <c r="F117" s="18" t="n">
        <v>46388</v>
      </c>
      <c r="G117" s="17" t="s">
        <v>3</v>
      </c>
      <c r="H117" s="17"/>
    </row>
    <row r="118" customFormat="false" ht="15" hidden="false" customHeight="false" outlineLevel="0" collapsed="false">
      <c r="A118" s="17" t="s">
        <v>633</v>
      </c>
      <c r="B118" s="17" t="s">
        <v>634</v>
      </c>
      <c r="C118" s="17" t="s">
        <v>10</v>
      </c>
      <c r="D118" s="17" t="s">
        <v>4124</v>
      </c>
      <c r="E118" s="17" t="s">
        <v>625</v>
      </c>
      <c r="F118" s="18" t="n">
        <v>46327</v>
      </c>
      <c r="G118" s="17" t="s">
        <v>4</v>
      </c>
      <c r="H118" s="17"/>
    </row>
    <row r="119" customFormat="false" ht="15" hidden="false" customHeight="false" outlineLevel="0" collapsed="false">
      <c r="A119" s="17" t="s">
        <v>1589</v>
      </c>
      <c r="B119" s="17" t="s">
        <v>1590</v>
      </c>
      <c r="C119" s="17" t="s">
        <v>10</v>
      </c>
      <c r="D119" s="17" t="s">
        <v>4124</v>
      </c>
      <c r="E119" s="17" t="s">
        <v>1582</v>
      </c>
      <c r="F119" s="18" t="n">
        <v>46372</v>
      </c>
      <c r="G119" s="17" t="s">
        <v>3</v>
      </c>
      <c r="H119" s="17"/>
    </row>
    <row r="120" customFormat="false" ht="15" hidden="false" customHeight="false" outlineLevel="0" collapsed="false">
      <c r="A120" s="17" t="s">
        <v>2621</v>
      </c>
      <c r="B120" s="17" t="s">
        <v>4219</v>
      </c>
      <c r="C120" s="17" t="s">
        <v>10</v>
      </c>
      <c r="D120" s="17" t="s">
        <v>4124</v>
      </c>
      <c r="E120" s="17" t="s">
        <v>548</v>
      </c>
      <c r="F120" s="18" t="n">
        <v>46323</v>
      </c>
      <c r="G120" s="17" t="s">
        <v>4</v>
      </c>
      <c r="H120" s="17"/>
    </row>
    <row r="121" customFormat="false" ht="15" hidden="false" customHeight="false" outlineLevel="0" collapsed="false">
      <c r="A121" s="17" t="s">
        <v>2892</v>
      </c>
      <c r="B121" s="17" t="s">
        <v>4220</v>
      </c>
      <c r="C121" s="17" t="s">
        <v>10</v>
      </c>
      <c r="D121" s="17" t="s">
        <v>4124</v>
      </c>
      <c r="E121" s="17" t="s">
        <v>947</v>
      </c>
      <c r="F121" s="18" t="n">
        <v>46342</v>
      </c>
      <c r="G121" s="17" t="s">
        <v>4</v>
      </c>
      <c r="H121" s="17"/>
    </row>
    <row r="122" customFormat="false" ht="15" hidden="false" customHeight="false" outlineLevel="0" collapsed="false">
      <c r="A122" s="17" t="s">
        <v>1653</v>
      </c>
      <c r="B122" s="17" t="s">
        <v>1654</v>
      </c>
      <c r="C122" s="17" t="s">
        <v>10</v>
      </c>
      <c r="D122" s="17" t="s">
        <v>4124</v>
      </c>
      <c r="E122" s="17" t="s">
        <v>1646</v>
      </c>
      <c r="F122" s="18" t="n">
        <v>46375</v>
      </c>
      <c r="G122" s="17" t="s">
        <v>3</v>
      </c>
      <c r="H122" s="17"/>
    </row>
    <row r="123" customFormat="false" ht="15" hidden="false" customHeight="false" outlineLevel="0" collapsed="false">
      <c r="A123" s="17" t="s">
        <v>1697</v>
      </c>
      <c r="B123" s="17" t="s">
        <v>1698</v>
      </c>
      <c r="C123" s="17" t="s">
        <v>10</v>
      </c>
      <c r="D123" s="17" t="s">
        <v>4124</v>
      </c>
      <c r="E123" s="17" t="s">
        <v>1690</v>
      </c>
      <c r="F123" s="18" t="n">
        <v>46377</v>
      </c>
      <c r="G123" s="17" t="s">
        <v>3</v>
      </c>
      <c r="H123" s="17"/>
    </row>
    <row r="124" customFormat="false" ht="15" hidden="false" customHeight="false" outlineLevel="0" collapsed="false">
      <c r="A124" s="17" t="s">
        <v>4028</v>
      </c>
      <c r="B124" s="17" t="s">
        <v>4221</v>
      </c>
      <c r="C124" s="17" t="s">
        <v>10</v>
      </c>
      <c r="D124" s="17" t="s">
        <v>4124</v>
      </c>
      <c r="E124" s="17" t="s">
        <v>1570</v>
      </c>
      <c r="F124" s="18" t="n">
        <v>46380</v>
      </c>
      <c r="G124" s="17" t="s">
        <v>5</v>
      </c>
      <c r="H124" s="17"/>
    </row>
    <row r="125" customFormat="false" ht="15" hidden="false" customHeight="false" outlineLevel="0" collapsed="false">
      <c r="A125" s="17" t="s">
        <v>1740</v>
      </c>
      <c r="B125" s="17" t="s">
        <v>1741</v>
      </c>
      <c r="C125" s="17" t="s">
        <v>10</v>
      </c>
      <c r="D125" s="17" t="s">
        <v>4124</v>
      </c>
      <c r="E125" s="17" t="s">
        <v>1732</v>
      </c>
      <c r="F125" s="18" t="n">
        <v>46379</v>
      </c>
      <c r="G125" s="17" t="s">
        <v>3</v>
      </c>
      <c r="H125" s="17"/>
    </row>
    <row r="126" customFormat="false" ht="15" hidden="false" customHeight="false" outlineLevel="0" collapsed="false">
      <c r="A126" s="17" t="s">
        <v>1555</v>
      </c>
      <c r="B126" s="17" t="s">
        <v>1556</v>
      </c>
      <c r="C126" s="17" t="s">
        <v>10</v>
      </c>
      <c r="D126" s="17" t="s">
        <v>4124</v>
      </c>
      <c r="E126" s="17" t="s">
        <v>1548</v>
      </c>
      <c r="F126" s="18" t="n">
        <v>46371</v>
      </c>
      <c r="G126" s="17" t="s">
        <v>4</v>
      </c>
      <c r="H126" s="17"/>
    </row>
    <row r="127" customFormat="false" ht="15" hidden="false" customHeight="false" outlineLevel="0" collapsed="false">
      <c r="A127" s="17" t="s">
        <v>1395</v>
      </c>
      <c r="B127" s="17" t="s">
        <v>1396</v>
      </c>
      <c r="C127" s="17" t="s">
        <v>10</v>
      </c>
      <c r="D127" s="17" t="s">
        <v>4124</v>
      </c>
      <c r="E127" s="17" t="s">
        <v>1387</v>
      </c>
      <c r="F127" s="18" t="n">
        <v>46363</v>
      </c>
      <c r="G127" s="17" t="s">
        <v>4</v>
      </c>
      <c r="H127" s="17"/>
    </row>
    <row r="128" customFormat="false" ht="15" hidden="false" customHeight="false" outlineLevel="0" collapsed="false">
      <c r="A128" s="17" t="s">
        <v>2484</v>
      </c>
      <c r="B128" s="17" t="s">
        <v>1708</v>
      </c>
      <c r="C128" s="17" t="s">
        <v>10</v>
      </c>
      <c r="D128" s="17" t="s">
        <v>4124</v>
      </c>
      <c r="E128" s="17" t="s">
        <v>394</v>
      </c>
      <c r="F128" s="18" t="n">
        <v>46316</v>
      </c>
      <c r="G128" s="17" t="s">
        <v>4</v>
      </c>
      <c r="H128" s="17"/>
    </row>
    <row r="129" customFormat="false" ht="15" hidden="false" customHeight="false" outlineLevel="0" collapsed="false">
      <c r="A129" s="17" t="s">
        <v>3144</v>
      </c>
      <c r="B129" s="17" t="s">
        <v>4222</v>
      </c>
      <c r="C129" s="17" t="s">
        <v>10</v>
      </c>
      <c r="D129" s="17" t="s">
        <v>4124</v>
      </c>
      <c r="E129" s="17" t="s">
        <v>1313</v>
      </c>
      <c r="F129" s="18" t="n">
        <v>46360</v>
      </c>
      <c r="G129" s="17" t="s">
        <v>4</v>
      </c>
      <c r="H129" s="17"/>
    </row>
    <row r="130" customFormat="false" ht="15" hidden="false" customHeight="false" outlineLevel="0" collapsed="false">
      <c r="A130" s="17" t="s">
        <v>1939</v>
      </c>
      <c r="B130" s="17" t="s">
        <v>1940</v>
      </c>
      <c r="C130" s="17" t="s">
        <v>10</v>
      </c>
      <c r="D130" s="17" t="s">
        <v>4124</v>
      </c>
      <c r="E130" s="17" t="s">
        <v>1931</v>
      </c>
      <c r="F130" s="18" t="n">
        <v>46389</v>
      </c>
      <c r="G130" s="17" t="s">
        <v>4</v>
      </c>
      <c r="H130" s="17"/>
    </row>
    <row r="131" customFormat="false" ht="15" hidden="false" customHeight="false" outlineLevel="0" collapsed="false">
      <c r="A131" s="17" t="s">
        <v>3052</v>
      </c>
      <c r="B131" s="17" t="s">
        <v>4223</v>
      </c>
      <c r="C131" s="17" t="s">
        <v>10</v>
      </c>
      <c r="D131" s="17" t="s">
        <v>4124</v>
      </c>
      <c r="E131" s="17" t="s">
        <v>1166</v>
      </c>
      <c r="F131" s="18" t="n">
        <v>46353</v>
      </c>
      <c r="G131" s="17" t="s">
        <v>4</v>
      </c>
      <c r="H131" s="17"/>
    </row>
    <row r="132" customFormat="false" ht="15" hidden="false" customHeight="false" outlineLevel="0" collapsed="false">
      <c r="A132" s="17" t="s">
        <v>4224</v>
      </c>
      <c r="B132" s="17" t="s">
        <v>4225</v>
      </c>
      <c r="C132" s="17" t="s">
        <v>10</v>
      </c>
      <c r="D132" s="19" t="s">
        <v>4140</v>
      </c>
      <c r="E132" s="17"/>
      <c r="F132" s="18"/>
      <c r="G132" s="17"/>
      <c r="H132" s="17" t="s">
        <v>4226</v>
      </c>
    </row>
    <row r="133" customFormat="false" ht="15" hidden="false" customHeight="false" outlineLevel="0" collapsed="false">
      <c r="A133" s="17" t="s">
        <v>3429</v>
      </c>
      <c r="B133" s="17" t="s">
        <v>4227</v>
      </c>
      <c r="C133" s="17" t="s">
        <v>10</v>
      </c>
      <c r="D133" s="17" t="s">
        <v>4124</v>
      </c>
      <c r="E133" s="17" t="s">
        <v>1677</v>
      </c>
      <c r="F133" s="18" t="n">
        <v>46377</v>
      </c>
      <c r="G133" s="17" t="s">
        <v>4</v>
      </c>
      <c r="H133" s="17"/>
    </row>
    <row r="134" customFormat="false" ht="15" hidden="false" customHeight="false" outlineLevel="0" collapsed="false">
      <c r="A134" s="17" t="s">
        <v>871</v>
      </c>
      <c r="B134" s="17" t="s">
        <v>872</v>
      </c>
      <c r="C134" s="17" t="s">
        <v>10</v>
      </c>
      <c r="D134" s="17" t="s">
        <v>4124</v>
      </c>
      <c r="E134" s="17" t="s">
        <v>863</v>
      </c>
      <c r="F134" s="18" t="n">
        <v>46338</v>
      </c>
      <c r="G134" s="17" t="s">
        <v>3</v>
      </c>
      <c r="H134" s="17"/>
    </row>
    <row r="135" customFormat="false" ht="15" hidden="false" customHeight="false" outlineLevel="0" collapsed="false">
      <c r="A135" s="17" t="s">
        <v>1449</v>
      </c>
      <c r="B135" s="17" t="s">
        <v>1450</v>
      </c>
      <c r="C135" s="17" t="s">
        <v>10</v>
      </c>
      <c r="D135" s="17" t="s">
        <v>4124</v>
      </c>
      <c r="E135" s="17" t="s">
        <v>1441</v>
      </c>
      <c r="F135" s="18" t="n">
        <v>46366</v>
      </c>
      <c r="G135" s="17" t="s">
        <v>4</v>
      </c>
      <c r="H135" s="17"/>
    </row>
    <row r="136" customFormat="false" ht="15" hidden="false" customHeight="false" outlineLevel="0" collapsed="false">
      <c r="A136" s="17" t="s">
        <v>3980</v>
      </c>
      <c r="B136" s="17" t="s">
        <v>4228</v>
      </c>
      <c r="C136" s="17" t="s">
        <v>10</v>
      </c>
      <c r="D136" s="17" t="s">
        <v>4124</v>
      </c>
      <c r="E136" s="17" t="s">
        <v>1301</v>
      </c>
      <c r="F136" s="18" t="n">
        <v>46359</v>
      </c>
      <c r="G136" s="17" t="s">
        <v>5</v>
      </c>
      <c r="H136" s="17"/>
    </row>
    <row r="137" customFormat="false" ht="15" hidden="false" customHeight="false" outlineLevel="0" collapsed="false">
      <c r="A137" s="17" t="s">
        <v>1825</v>
      </c>
      <c r="B137" s="17" t="s">
        <v>1826</v>
      </c>
      <c r="C137" s="17" t="s">
        <v>10</v>
      </c>
      <c r="D137" s="17" t="s">
        <v>4124</v>
      </c>
      <c r="E137" s="17" t="s">
        <v>1818</v>
      </c>
      <c r="F137" s="18" t="n">
        <v>46383</v>
      </c>
      <c r="G137" s="17" t="s">
        <v>3</v>
      </c>
      <c r="H137" s="17"/>
    </row>
    <row r="138" customFormat="false" ht="15" hidden="false" customHeight="false" outlineLevel="0" collapsed="false">
      <c r="A138" s="17" t="s">
        <v>1707</v>
      </c>
      <c r="B138" s="17" t="s">
        <v>1708</v>
      </c>
      <c r="C138" s="17" t="s">
        <v>10</v>
      </c>
      <c r="D138" s="17" t="s">
        <v>4124</v>
      </c>
      <c r="E138" s="17" t="s">
        <v>1700</v>
      </c>
      <c r="F138" s="18" t="n">
        <v>46378</v>
      </c>
      <c r="G138" s="17" t="s">
        <v>4</v>
      </c>
      <c r="H138" s="17"/>
    </row>
    <row r="139" customFormat="false" ht="15" hidden="false" customHeight="false" outlineLevel="0" collapsed="false">
      <c r="A139" s="17" t="s">
        <v>4031</v>
      </c>
      <c r="B139" s="17" t="s">
        <v>4229</v>
      </c>
      <c r="C139" s="17" t="s">
        <v>10</v>
      </c>
      <c r="D139" s="17" t="s">
        <v>4124</v>
      </c>
      <c r="E139" s="17" t="s">
        <v>1570</v>
      </c>
      <c r="F139" s="18" t="n">
        <v>46380</v>
      </c>
      <c r="G139" s="17" t="s">
        <v>5</v>
      </c>
      <c r="H139" s="17"/>
    </row>
    <row r="140" customFormat="false" ht="15" hidden="false" customHeight="false" outlineLevel="0" collapsed="false">
      <c r="A140" s="17" t="s">
        <v>1845</v>
      </c>
      <c r="B140" s="17" t="s">
        <v>1846</v>
      </c>
      <c r="C140" s="17" t="s">
        <v>10</v>
      </c>
      <c r="D140" s="17" t="s">
        <v>4124</v>
      </c>
      <c r="E140" s="17" t="s">
        <v>1838</v>
      </c>
      <c r="F140" s="18" t="n">
        <v>46384</v>
      </c>
      <c r="G140" s="17" t="s">
        <v>3</v>
      </c>
      <c r="H140" s="17"/>
    </row>
    <row r="141" customFormat="false" ht="15" hidden="false" customHeight="false" outlineLevel="0" collapsed="false">
      <c r="A141" s="17" t="s">
        <v>2471</v>
      </c>
      <c r="B141" s="17" t="s">
        <v>4230</v>
      </c>
      <c r="C141" s="17" t="s">
        <v>10</v>
      </c>
      <c r="D141" s="17" t="s">
        <v>4124</v>
      </c>
      <c r="E141" s="17" t="s">
        <v>394</v>
      </c>
      <c r="F141" s="18" t="n">
        <v>46316</v>
      </c>
      <c r="G141" s="17" t="s">
        <v>4</v>
      </c>
      <c r="H141" s="17"/>
    </row>
    <row r="142" customFormat="false" ht="15" hidden="false" customHeight="false" outlineLevel="0" collapsed="false">
      <c r="A142" s="17" t="s">
        <v>1907</v>
      </c>
      <c r="B142" s="17" t="s">
        <v>1868</v>
      </c>
      <c r="C142" s="17" t="s">
        <v>10</v>
      </c>
      <c r="D142" s="17" t="s">
        <v>4124</v>
      </c>
      <c r="E142" s="17" t="s">
        <v>1900</v>
      </c>
      <c r="F142" s="18" t="n">
        <v>46387</v>
      </c>
      <c r="G142" s="17" t="s">
        <v>3</v>
      </c>
      <c r="H142" s="17"/>
    </row>
    <row r="143" customFormat="false" ht="15" hidden="false" customHeight="false" outlineLevel="0" collapsed="false">
      <c r="A143" s="17" t="s">
        <v>1417</v>
      </c>
      <c r="B143" s="17" t="s">
        <v>1418</v>
      </c>
      <c r="C143" s="17" t="s">
        <v>10</v>
      </c>
      <c r="D143" s="17" t="s">
        <v>4124</v>
      </c>
      <c r="E143" s="17" t="s">
        <v>1409</v>
      </c>
      <c r="F143" s="18" t="n">
        <v>46364</v>
      </c>
      <c r="G143" s="17" t="s">
        <v>3</v>
      </c>
      <c r="H143" s="17"/>
    </row>
    <row r="144" customFormat="false" ht="15" hidden="false" customHeight="false" outlineLevel="0" collapsed="false">
      <c r="A144" s="17" t="s">
        <v>1974</v>
      </c>
      <c r="B144" s="17" t="s">
        <v>1975</v>
      </c>
      <c r="C144" s="17" t="s">
        <v>10</v>
      </c>
      <c r="D144" s="17" t="s">
        <v>4124</v>
      </c>
      <c r="E144" s="17" t="s">
        <v>1967</v>
      </c>
      <c r="F144" s="18" t="n">
        <v>46390</v>
      </c>
      <c r="G144" s="17" t="s">
        <v>3</v>
      </c>
      <c r="H144" s="17"/>
    </row>
    <row r="145" customFormat="false" ht="15" hidden="false" customHeight="false" outlineLevel="0" collapsed="false">
      <c r="A145" s="17" t="s">
        <v>3684</v>
      </c>
      <c r="B145" s="17" t="s">
        <v>4231</v>
      </c>
      <c r="C145" s="17" t="s">
        <v>10</v>
      </c>
      <c r="D145" s="17" t="s">
        <v>4124</v>
      </c>
      <c r="E145" s="17" t="s">
        <v>2020</v>
      </c>
      <c r="F145" s="18" t="n">
        <v>46393</v>
      </c>
      <c r="G145" s="17" t="s">
        <v>4</v>
      </c>
      <c r="H145" s="17"/>
    </row>
    <row r="146" customFormat="false" ht="15" hidden="false" customHeight="false" outlineLevel="0" collapsed="false">
      <c r="A146" s="17" t="s">
        <v>4232</v>
      </c>
      <c r="B146" s="17" t="s">
        <v>4233</v>
      </c>
      <c r="C146" s="17" t="s">
        <v>10</v>
      </c>
      <c r="D146" s="19" t="s">
        <v>4140</v>
      </c>
      <c r="E146" s="17"/>
      <c r="F146" s="18"/>
      <c r="G146" s="17"/>
      <c r="H146" s="17" t="s">
        <v>4234</v>
      </c>
    </row>
    <row r="147" customFormat="false" ht="15" hidden="false" customHeight="false" outlineLevel="0" collapsed="false">
      <c r="A147" s="17" t="s">
        <v>1762</v>
      </c>
      <c r="B147" s="17" t="s">
        <v>1763</v>
      </c>
      <c r="C147" s="17" t="s">
        <v>10</v>
      </c>
      <c r="D147" s="17" t="s">
        <v>4124</v>
      </c>
      <c r="E147" s="17" t="s">
        <v>1754</v>
      </c>
      <c r="F147" s="18" t="n">
        <v>46380</v>
      </c>
      <c r="G147" s="17" t="s">
        <v>3</v>
      </c>
      <c r="H147" s="17"/>
    </row>
    <row r="148" customFormat="false" ht="15" hidden="false" customHeight="false" outlineLevel="0" collapsed="false">
      <c r="A148" s="17" t="s">
        <v>2843</v>
      </c>
      <c r="B148" s="17" t="s">
        <v>4235</v>
      </c>
      <c r="C148" s="17" t="s">
        <v>10</v>
      </c>
      <c r="D148" s="17" t="s">
        <v>4124</v>
      </c>
      <c r="E148" s="17" t="s">
        <v>874</v>
      </c>
      <c r="F148" s="18" t="n">
        <v>46339</v>
      </c>
      <c r="G148" s="17" t="s">
        <v>4</v>
      </c>
      <c r="H148" s="17"/>
    </row>
    <row r="149" customFormat="false" ht="15" hidden="false" customHeight="false" outlineLevel="0" collapsed="false">
      <c r="A149" s="17" t="s">
        <v>1643</v>
      </c>
      <c r="B149" s="17" t="s">
        <v>1644</v>
      </c>
      <c r="C149" s="17" t="s">
        <v>10</v>
      </c>
      <c r="D149" s="17" t="s">
        <v>4124</v>
      </c>
      <c r="E149" s="17" t="s">
        <v>1636</v>
      </c>
      <c r="F149" s="18" t="n">
        <v>46375</v>
      </c>
      <c r="G149" s="17" t="s">
        <v>4</v>
      </c>
      <c r="H149" s="17"/>
    </row>
    <row r="150" customFormat="false" ht="15" hidden="false" customHeight="false" outlineLevel="0" collapsed="false">
      <c r="A150" s="17" t="s">
        <v>4005</v>
      </c>
      <c r="B150" s="17" t="s">
        <v>4236</v>
      </c>
      <c r="C150" s="17" t="s">
        <v>10</v>
      </c>
      <c r="D150" s="17" t="s">
        <v>4124</v>
      </c>
      <c r="E150" s="17" t="s">
        <v>1506</v>
      </c>
      <c r="F150" s="18" t="n">
        <v>46369</v>
      </c>
      <c r="G150" s="17" t="s">
        <v>5</v>
      </c>
      <c r="H150" s="17"/>
    </row>
    <row r="151" customFormat="false" ht="15" hidden="false" customHeight="false" outlineLevel="0" collapsed="false">
      <c r="A151" s="17" t="s">
        <v>2018</v>
      </c>
      <c r="B151" s="17" t="s">
        <v>253</v>
      </c>
      <c r="C151" s="17" t="s">
        <v>10</v>
      </c>
      <c r="D151" s="17" t="s">
        <v>4124</v>
      </c>
      <c r="E151" s="17" t="s">
        <v>2011</v>
      </c>
      <c r="F151" s="18" t="n">
        <v>46392</v>
      </c>
      <c r="G151" s="17" t="s">
        <v>3</v>
      </c>
      <c r="H151" s="17"/>
    </row>
    <row r="152" customFormat="false" ht="15" hidden="false" customHeight="false" outlineLevel="0" collapsed="false">
      <c r="A152" s="17" t="s">
        <v>2061</v>
      </c>
      <c r="B152" s="17" t="s">
        <v>2062</v>
      </c>
      <c r="C152" s="17" t="s">
        <v>10</v>
      </c>
      <c r="D152" s="17" t="s">
        <v>4124</v>
      </c>
      <c r="E152" s="17" t="s">
        <v>2053</v>
      </c>
      <c r="F152" s="18" t="n">
        <v>46394</v>
      </c>
      <c r="G152" s="17" t="s">
        <v>3</v>
      </c>
      <c r="H152" s="17"/>
    </row>
    <row r="153" customFormat="false" ht="15" hidden="false" customHeight="false" outlineLevel="0" collapsed="false">
      <c r="A153" s="17" t="s">
        <v>3671</v>
      </c>
      <c r="B153" s="17" t="s">
        <v>4237</v>
      </c>
      <c r="C153" s="17" t="s">
        <v>10</v>
      </c>
      <c r="D153" s="17" t="s">
        <v>4124</v>
      </c>
      <c r="E153" s="17" t="s">
        <v>2020</v>
      </c>
      <c r="F153" s="18" t="n">
        <v>46393</v>
      </c>
      <c r="G153" s="17" t="s">
        <v>4</v>
      </c>
      <c r="H153" s="17"/>
    </row>
    <row r="154" customFormat="false" ht="15" hidden="false" customHeight="false" outlineLevel="0" collapsed="false">
      <c r="A154" s="17" t="s">
        <v>4238</v>
      </c>
      <c r="B154" s="17" t="s">
        <v>4239</v>
      </c>
      <c r="C154" s="17" t="s">
        <v>10</v>
      </c>
      <c r="D154" s="19" t="s">
        <v>4140</v>
      </c>
      <c r="E154" s="17"/>
      <c r="F154" s="18"/>
      <c r="G154" s="17"/>
      <c r="H154" s="17" t="s">
        <v>4240</v>
      </c>
    </row>
    <row r="155" customFormat="false" ht="15" hidden="false" customHeight="false" outlineLevel="0" collapsed="false">
      <c r="A155" s="17" t="s">
        <v>3551</v>
      </c>
      <c r="B155" s="17" t="s">
        <v>4241</v>
      </c>
      <c r="C155" s="17" t="s">
        <v>10</v>
      </c>
      <c r="D155" s="17" t="s">
        <v>4124</v>
      </c>
      <c r="E155" s="17" t="s">
        <v>1848</v>
      </c>
      <c r="F155" s="18" t="n">
        <v>46385</v>
      </c>
      <c r="G155" s="17" t="s">
        <v>4</v>
      </c>
      <c r="H155" s="17"/>
    </row>
    <row r="156" customFormat="false" ht="15" hidden="false" customHeight="false" outlineLevel="0" collapsed="false">
      <c r="A156" s="17" t="s">
        <v>2215</v>
      </c>
      <c r="B156" s="17" t="s">
        <v>4242</v>
      </c>
      <c r="C156" s="17"/>
      <c r="D156" s="17" t="s">
        <v>4124</v>
      </c>
      <c r="E156" s="17" t="s">
        <v>4243</v>
      </c>
      <c r="F156" s="18" t="n">
        <v>46302</v>
      </c>
      <c r="G156" s="17" t="s">
        <v>4</v>
      </c>
      <c r="H156" s="17" t="s">
        <v>4244</v>
      </c>
    </row>
    <row r="157" customFormat="false" ht="15" hidden="false" customHeight="false" outlineLevel="0" collapsed="false">
      <c r="A157" s="17" t="s">
        <v>2225</v>
      </c>
      <c r="B157" s="17" t="s">
        <v>4242</v>
      </c>
      <c r="C157" s="17"/>
      <c r="D157" s="17" t="s">
        <v>4124</v>
      </c>
      <c r="E157" s="17" t="s">
        <v>4243</v>
      </c>
      <c r="F157" s="18" t="n">
        <v>46302</v>
      </c>
      <c r="G157" s="17" t="s">
        <v>4</v>
      </c>
      <c r="H157" s="17" t="s">
        <v>4244</v>
      </c>
    </row>
    <row r="158" customFormat="false" ht="15" hidden="false" customHeight="false" outlineLevel="0" collapsed="false">
      <c r="A158" s="17" t="s">
        <v>172</v>
      </c>
      <c r="B158" s="17" t="s">
        <v>4242</v>
      </c>
      <c r="C158" s="17"/>
      <c r="D158" s="17" t="s">
        <v>4124</v>
      </c>
      <c r="E158" s="17" t="s">
        <v>164</v>
      </c>
      <c r="F158" s="18" t="n">
        <v>46306</v>
      </c>
      <c r="G158" s="17" t="s">
        <v>3</v>
      </c>
      <c r="H158" s="17"/>
    </row>
    <row r="159" customFormat="false" ht="15" hidden="false" customHeight="false" outlineLevel="0" collapsed="false">
      <c r="A159" s="17" t="s">
        <v>2265</v>
      </c>
      <c r="B159" s="17" t="s">
        <v>4242</v>
      </c>
      <c r="C159" s="17"/>
      <c r="D159" s="17" t="s">
        <v>4124</v>
      </c>
      <c r="E159" s="17" t="s">
        <v>4245</v>
      </c>
      <c r="F159" s="18" t="n">
        <v>46305</v>
      </c>
      <c r="G159" s="17" t="s">
        <v>4</v>
      </c>
      <c r="H159" s="17" t="s">
        <v>4244</v>
      </c>
    </row>
    <row r="160" customFormat="false" ht="15" hidden="false" customHeight="false" outlineLevel="0" collapsed="false">
      <c r="A160" s="17" t="s">
        <v>2277</v>
      </c>
      <c r="B160" s="17" t="s">
        <v>4242</v>
      </c>
      <c r="C160" s="17"/>
      <c r="D160" s="17" t="s">
        <v>4124</v>
      </c>
      <c r="E160" s="17" t="s">
        <v>4245</v>
      </c>
      <c r="F160" s="18" t="n">
        <v>46305</v>
      </c>
      <c r="G160" s="17" t="s">
        <v>4</v>
      </c>
      <c r="H160" s="17" t="s">
        <v>4244</v>
      </c>
    </row>
    <row r="161" customFormat="false" ht="15" hidden="false" customHeight="false" outlineLevel="0" collapsed="false">
      <c r="A161" s="17" t="s">
        <v>370</v>
      </c>
      <c r="B161" s="17" t="s">
        <v>4242</v>
      </c>
      <c r="C161" s="17"/>
      <c r="D161" s="17" t="s">
        <v>4124</v>
      </c>
      <c r="E161" s="17" t="s">
        <v>362</v>
      </c>
      <c r="F161" s="18" t="n">
        <v>46315</v>
      </c>
      <c r="G161" s="17" t="s">
        <v>3</v>
      </c>
      <c r="H161" s="17"/>
    </row>
    <row r="162" customFormat="false" ht="15" hidden="false" customHeight="false" outlineLevel="0" collapsed="false">
      <c r="A162" s="17" t="s">
        <v>2426</v>
      </c>
      <c r="B162" s="17" t="s">
        <v>4242</v>
      </c>
      <c r="C162" s="17"/>
      <c r="D162" s="17" t="s">
        <v>4124</v>
      </c>
      <c r="E162" s="17" t="s">
        <v>4246</v>
      </c>
      <c r="F162" s="18" t="n">
        <v>46314</v>
      </c>
      <c r="G162" s="17" t="s">
        <v>4</v>
      </c>
      <c r="H162" s="17" t="s">
        <v>4244</v>
      </c>
    </row>
    <row r="163" customFormat="false" ht="15" hidden="false" customHeight="false" outlineLevel="0" collapsed="false">
      <c r="A163" s="17" t="s">
        <v>2434</v>
      </c>
      <c r="B163" s="17" t="s">
        <v>4242</v>
      </c>
      <c r="C163" s="17"/>
      <c r="D163" s="17" t="s">
        <v>4124</v>
      </c>
      <c r="E163" s="17" t="s">
        <v>4246</v>
      </c>
      <c r="F163" s="18" t="n">
        <v>46314</v>
      </c>
      <c r="G163" s="17" t="s">
        <v>4</v>
      </c>
      <c r="H163" s="17" t="s">
        <v>4244</v>
      </c>
    </row>
    <row r="164" customFormat="false" ht="15" hidden="false" customHeight="false" outlineLevel="0" collapsed="false">
      <c r="A164" s="17" t="s">
        <v>566</v>
      </c>
      <c r="B164" s="17" t="s">
        <v>4242</v>
      </c>
      <c r="C164" s="17"/>
      <c r="D164" s="17" t="s">
        <v>4124</v>
      </c>
      <c r="E164" s="17" t="s">
        <v>559</v>
      </c>
      <c r="F164" s="18" t="n">
        <v>46324</v>
      </c>
      <c r="G164" s="17" t="s">
        <v>3</v>
      </c>
      <c r="H164" s="17"/>
    </row>
    <row r="165" customFormat="false" ht="15" hidden="false" customHeight="false" outlineLevel="0" collapsed="false">
      <c r="A165" s="17" t="s">
        <v>623</v>
      </c>
      <c r="B165" s="17" t="s">
        <v>4242</v>
      </c>
      <c r="C165" s="17"/>
      <c r="D165" s="17" t="s">
        <v>4124</v>
      </c>
      <c r="E165" s="17" t="s">
        <v>615</v>
      </c>
      <c r="F165" s="18" t="n">
        <v>46326</v>
      </c>
      <c r="G165" s="17" t="s">
        <v>3</v>
      </c>
      <c r="H165" s="17"/>
    </row>
    <row r="166" customFormat="false" ht="15" hidden="false" customHeight="false" outlineLevel="0" collapsed="false">
      <c r="A166" s="17" t="s">
        <v>2562</v>
      </c>
      <c r="B166" s="17" t="s">
        <v>4242</v>
      </c>
      <c r="C166" s="17"/>
      <c r="D166" s="17" t="s">
        <v>4124</v>
      </c>
      <c r="E166" s="17" t="s">
        <v>4247</v>
      </c>
      <c r="F166" s="18" t="n">
        <v>46321</v>
      </c>
      <c r="G166" s="17" t="s">
        <v>4</v>
      </c>
      <c r="H166" s="17" t="s">
        <v>4244</v>
      </c>
    </row>
    <row r="167" customFormat="false" ht="15" hidden="false" customHeight="false" outlineLevel="0" collapsed="false">
      <c r="A167" s="17" t="s">
        <v>2578</v>
      </c>
      <c r="B167" s="17" t="s">
        <v>4242</v>
      </c>
      <c r="C167" s="17"/>
      <c r="D167" s="17" t="s">
        <v>4124</v>
      </c>
      <c r="E167" s="17" t="s">
        <v>4247</v>
      </c>
      <c r="F167" s="18" t="n">
        <v>46321</v>
      </c>
      <c r="G167" s="17" t="s">
        <v>4</v>
      </c>
      <c r="H167" s="17" t="s">
        <v>4244</v>
      </c>
    </row>
    <row r="168" customFormat="false" ht="15" hidden="false" customHeight="false" outlineLevel="0" collapsed="false">
      <c r="A168" s="17" t="s">
        <v>727</v>
      </c>
      <c r="B168" s="17" t="s">
        <v>4242</v>
      </c>
      <c r="C168" s="17"/>
      <c r="D168" s="17" t="s">
        <v>4124</v>
      </c>
      <c r="E168" s="17" t="s">
        <v>719</v>
      </c>
      <c r="F168" s="18" t="n">
        <v>46331</v>
      </c>
      <c r="G168" s="17" t="s">
        <v>3</v>
      </c>
      <c r="H168" s="17"/>
    </row>
    <row r="169" customFormat="false" ht="15" hidden="false" customHeight="false" outlineLevel="0" collapsed="false">
      <c r="A169" s="17" t="s">
        <v>2585</v>
      </c>
      <c r="B169" s="17" t="s">
        <v>4242</v>
      </c>
      <c r="C169" s="17"/>
      <c r="D169" s="17" t="s">
        <v>4124</v>
      </c>
      <c r="E169" s="17" t="s">
        <v>4248</v>
      </c>
      <c r="F169" s="18" t="n">
        <v>46322</v>
      </c>
      <c r="G169" s="17" t="s">
        <v>4</v>
      </c>
      <c r="H169" s="17" t="s">
        <v>4244</v>
      </c>
    </row>
    <row r="170" customFormat="false" ht="15" hidden="false" customHeight="false" outlineLevel="0" collapsed="false">
      <c r="A170" s="17" t="s">
        <v>2590</v>
      </c>
      <c r="B170" s="17" t="s">
        <v>4242</v>
      </c>
      <c r="C170" s="17"/>
      <c r="D170" s="17" t="s">
        <v>4124</v>
      </c>
      <c r="E170" s="17" t="s">
        <v>4248</v>
      </c>
      <c r="F170" s="18" t="n">
        <v>46322</v>
      </c>
      <c r="G170" s="17" t="s">
        <v>4</v>
      </c>
      <c r="H170" s="17" t="s">
        <v>4244</v>
      </c>
    </row>
    <row r="171" customFormat="false" ht="15" hidden="false" customHeight="false" outlineLevel="0" collapsed="false">
      <c r="A171" s="17" t="s">
        <v>736</v>
      </c>
      <c r="B171" s="17" t="s">
        <v>4242</v>
      </c>
      <c r="C171" s="17"/>
      <c r="D171" s="17" t="s">
        <v>4124</v>
      </c>
      <c r="E171" s="17" t="s">
        <v>729</v>
      </c>
      <c r="F171" s="18" t="n">
        <v>46332</v>
      </c>
      <c r="G171" s="17" t="s">
        <v>3</v>
      </c>
      <c r="H171" s="17"/>
    </row>
    <row r="172" customFormat="false" ht="15" hidden="false" customHeight="false" outlineLevel="0" collapsed="false">
      <c r="A172" s="17" t="s">
        <v>816</v>
      </c>
      <c r="B172" s="17" t="s">
        <v>4242</v>
      </c>
      <c r="C172" s="17"/>
      <c r="D172" s="17" t="s">
        <v>4124</v>
      </c>
      <c r="E172" s="17" t="s">
        <v>808</v>
      </c>
      <c r="F172" s="18" t="n">
        <v>46336</v>
      </c>
      <c r="G172" s="17" t="s">
        <v>3</v>
      </c>
      <c r="H172" s="17"/>
    </row>
    <row r="173" customFormat="false" ht="15" hidden="false" customHeight="false" outlineLevel="0" collapsed="false">
      <c r="A173" s="17" t="s">
        <v>2721</v>
      </c>
      <c r="B173" s="17" t="s">
        <v>4242</v>
      </c>
      <c r="C173" s="17"/>
      <c r="D173" s="17" t="s">
        <v>4124</v>
      </c>
      <c r="E173" s="17" t="s">
        <v>4249</v>
      </c>
      <c r="F173" s="18" t="n">
        <v>46330</v>
      </c>
      <c r="G173" s="17" t="s">
        <v>4</v>
      </c>
      <c r="H173" s="17" t="s">
        <v>4244</v>
      </c>
    </row>
    <row r="174" customFormat="false" ht="15" hidden="false" customHeight="false" outlineLevel="0" collapsed="false">
      <c r="A174" s="17" t="s">
        <v>2738</v>
      </c>
      <c r="B174" s="17" t="s">
        <v>4242</v>
      </c>
      <c r="C174" s="17"/>
      <c r="D174" s="17" t="s">
        <v>4124</v>
      </c>
      <c r="E174" s="17" t="s">
        <v>4249</v>
      </c>
      <c r="F174" s="18" t="n">
        <v>46330</v>
      </c>
      <c r="G174" s="17" t="s">
        <v>4</v>
      </c>
      <c r="H174" s="17" t="s">
        <v>4244</v>
      </c>
    </row>
    <row r="175" customFormat="false" ht="15" hidden="false" customHeight="false" outlineLevel="0" collapsed="false">
      <c r="A175" s="17" t="s">
        <v>935</v>
      </c>
      <c r="B175" s="17" t="s">
        <v>4242</v>
      </c>
      <c r="C175" s="17"/>
      <c r="D175" s="17" t="s">
        <v>4124</v>
      </c>
      <c r="E175" s="17" t="s">
        <v>927</v>
      </c>
      <c r="F175" s="18" t="n">
        <v>46341</v>
      </c>
      <c r="G175" s="17" t="s">
        <v>3</v>
      </c>
      <c r="H175" s="17"/>
    </row>
    <row r="176" customFormat="false" ht="15" hidden="false" customHeight="false" outlineLevel="0" collapsed="false">
      <c r="A176" s="17" t="s">
        <v>2767</v>
      </c>
      <c r="B176" s="17" t="s">
        <v>4242</v>
      </c>
      <c r="C176" s="17"/>
      <c r="D176" s="17" t="s">
        <v>4124</v>
      </c>
      <c r="E176" s="17" t="s">
        <v>4250</v>
      </c>
      <c r="F176" s="18" t="n">
        <v>46336</v>
      </c>
      <c r="G176" s="17" t="s">
        <v>4</v>
      </c>
      <c r="H176" s="17" t="s">
        <v>4244</v>
      </c>
    </row>
    <row r="177" customFormat="false" ht="15" hidden="false" customHeight="false" outlineLevel="0" collapsed="false">
      <c r="A177" s="17" t="s">
        <v>2783</v>
      </c>
      <c r="B177" s="17" t="s">
        <v>4242</v>
      </c>
      <c r="C177" s="17"/>
      <c r="D177" s="17" t="s">
        <v>4124</v>
      </c>
      <c r="E177" s="17" t="s">
        <v>4250</v>
      </c>
      <c r="F177" s="18" t="n">
        <v>46336</v>
      </c>
      <c r="G177" s="17" t="s">
        <v>4</v>
      </c>
      <c r="H177" s="17" t="s">
        <v>4244</v>
      </c>
    </row>
    <row r="178" customFormat="false" ht="15" hidden="false" customHeight="false" outlineLevel="0" collapsed="false">
      <c r="A178" s="17" t="s">
        <v>2858</v>
      </c>
      <c r="B178" s="17" t="s">
        <v>4242</v>
      </c>
      <c r="C178" s="17"/>
      <c r="D178" s="17" t="s">
        <v>4124</v>
      </c>
      <c r="E178" s="17" t="s">
        <v>4251</v>
      </c>
      <c r="F178" s="18" t="n">
        <v>46340</v>
      </c>
      <c r="G178" s="17" t="s">
        <v>4</v>
      </c>
      <c r="H178" s="17" t="s">
        <v>4244</v>
      </c>
    </row>
    <row r="179" customFormat="false" ht="15" hidden="false" customHeight="false" outlineLevel="0" collapsed="false">
      <c r="A179" s="17" t="s">
        <v>2874</v>
      </c>
      <c r="B179" s="17" t="s">
        <v>4242</v>
      </c>
      <c r="C179" s="17"/>
      <c r="D179" s="17" t="s">
        <v>4124</v>
      </c>
      <c r="E179" s="17" t="s">
        <v>4251</v>
      </c>
      <c r="F179" s="18" t="n">
        <v>46340</v>
      </c>
      <c r="G179" s="17" t="s">
        <v>4</v>
      </c>
      <c r="H179" s="17" t="s">
        <v>4244</v>
      </c>
    </row>
    <row r="180" customFormat="false" ht="15" hidden="false" customHeight="false" outlineLevel="0" collapsed="false">
      <c r="A180" s="17" t="s">
        <v>1112</v>
      </c>
      <c r="B180" s="17" t="s">
        <v>4242</v>
      </c>
      <c r="C180" s="17"/>
      <c r="D180" s="17" t="s">
        <v>4124</v>
      </c>
      <c r="E180" s="17" t="s">
        <v>1104</v>
      </c>
      <c r="F180" s="18" t="n">
        <v>46350</v>
      </c>
      <c r="G180" s="17" t="s">
        <v>3</v>
      </c>
      <c r="H180" s="17"/>
    </row>
    <row r="181" customFormat="false" ht="15" hidden="false" customHeight="false" outlineLevel="0" collapsed="false">
      <c r="A181" s="17" t="s">
        <v>1153</v>
      </c>
      <c r="B181" s="17" t="s">
        <v>4242</v>
      </c>
      <c r="C181" s="17"/>
      <c r="D181" s="17" t="s">
        <v>4124</v>
      </c>
      <c r="E181" s="17" t="s">
        <v>1145</v>
      </c>
      <c r="F181" s="18" t="n">
        <v>46352</v>
      </c>
      <c r="G181" s="17" t="s">
        <v>3</v>
      </c>
      <c r="H181" s="17"/>
    </row>
    <row r="182" customFormat="false" ht="15" hidden="false" customHeight="false" outlineLevel="0" collapsed="false">
      <c r="A182" s="17" t="s">
        <v>3017</v>
      </c>
      <c r="B182" s="17" t="s">
        <v>4242</v>
      </c>
      <c r="C182" s="17"/>
      <c r="D182" s="17" t="s">
        <v>4124</v>
      </c>
      <c r="E182" s="17" t="s">
        <v>4252</v>
      </c>
      <c r="F182" s="18" t="n">
        <v>46350</v>
      </c>
      <c r="G182" s="17" t="s">
        <v>4</v>
      </c>
      <c r="H182" s="17" t="s">
        <v>4244</v>
      </c>
    </row>
    <row r="183" customFormat="false" ht="15" hidden="false" customHeight="false" outlineLevel="0" collapsed="false">
      <c r="A183" s="17" t="s">
        <v>3028</v>
      </c>
      <c r="B183" s="17" t="s">
        <v>4242</v>
      </c>
      <c r="C183" s="17"/>
      <c r="D183" s="17" t="s">
        <v>4124</v>
      </c>
      <c r="E183" s="17" t="s">
        <v>4252</v>
      </c>
      <c r="F183" s="18" t="n">
        <v>46350</v>
      </c>
      <c r="G183" s="17" t="s">
        <v>4</v>
      </c>
      <c r="H183" s="17" t="s">
        <v>4244</v>
      </c>
    </row>
    <row r="184" customFormat="false" ht="15" hidden="false" customHeight="false" outlineLevel="0" collapsed="false">
      <c r="A184" s="17" t="s">
        <v>1332</v>
      </c>
      <c r="B184" s="17" t="s">
        <v>4242</v>
      </c>
      <c r="C184" s="17"/>
      <c r="D184" s="17" t="s">
        <v>4124</v>
      </c>
      <c r="E184" s="17" t="s">
        <v>1324</v>
      </c>
      <c r="F184" s="18" t="n">
        <v>46360</v>
      </c>
      <c r="G184" s="17" t="s">
        <v>3</v>
      </c>
      <c r="H184" s="17"/>
    </row>
    <row r="185" customFormat="false" ht="15" hidden="false" customHeight="false" outlineLevel="0" collapsed="false">
      <c r="A185" s="17" t="s">
        <v>1773</v>
      </c>
      <c r="B185" s="17" t="s">
        <v>4242</v>
      </c>
      <c r="C185" s="17"/>
      <c r="D185" s="17" t="s">
        <v>4124</v>
      </c>
      <c r="E185" s="17" t="s">
        <v>1765</v>
      </c>
      <c r="F185" s="18" t="n">
        <v>46381</v>
      </c>
      <c r="G185" s="17" t="s">
        <v>3</v>
      </c>
      <c r="H185" s="17"/>
    </row>
    <row r="186" customFormat="false" ht="15" hidden="false" customHeight="false" outlineLevel="0" collapsed="false">
      <c r="A186" s="17" t="s">
        <v>1898</v>
      </c>
      <c r="B186" s="17" t="s">
        <v>4242</v>
      </c>
      <c r="C186" s="17"/>
      <c r="D186" s="17" t="s">
        <v>4124</v>
      </c>
      <c r="E186" s="17" t="s">
        <v>1890</v>
      </c>
      <c r="F186" s="18" t="n">
        <v>46387</v>
      </c>
      <c r="G186" s="17" t="s">
        <v>3</v>
      </c>
      <c r="H186" s="17"/>
    </row>
    <row r="187" customFormat="false" ht="15" hidden="false" customHeight="false" outlineLevel="0" collapsed="false">
      <c r="A187" s="17" t="s">
        <v>3613</v>
      </c>
      <c r="B187" s="17" t="s">
        <v>4242</v>
      </c>
      <c r="C187" s="17"/>
      <c r="D187" s="17" t="s">
        <v>4124</v>
      </c>
      <c r="E187" s="17" t="s">
        <v>4253</v>
      </c>
      <c r="F187" s="18" t="n">
        <v>46390</v>
      </c>
      <c r="G187" s="17" t="s">
        <v>4</v>
      </c>
      <c r="H187" s="17" t="s">
        <v>4244</v>
      </c>
    </row>
    <row r="188" customFormat="false" ht="15" hidden="false" customHeight="false" outlineLevel="0" collapsed="false">
      <c r="A188" s="17" t="s">
        <v>3628</v>
      </c>
      <c r="B188" s="17" t="s">
        <v>4242</v>
      </c>
      <c r="C188" s="17"/>
      <c r="D188" s="17" t="s">
        <v>4124</v>
      </c>
      <c r="E188" s="17" t="s">
        <v>4254</v>
      </c>
      <c r="F188" s="18" t="n">
        <v>46391</v>
      </c>
      <c r="G188" s="17" t="s">
        <v>4</v>
      </c>
      <c r="H188" s="17" t="s">
        <v>4244</v>
      </c>
    </row>
    <row r="189" customFormat="false" ht="15" hidden="false" customHeight="false" outlineLevel="0" collapsed="false">
      <c r="A189" s="17" t="s">
        <v>3637</v>
      </c>
      <c r="B189" s="17" t="s">
        <v>4242</v>
      </c>
      <c r="C189" s="17"/>
      <c r="D189" s="17" t="s">
        <v>4124</v>
      </c>
      <c r="E189" s="17" t="s">
        <v>4254</v>
      </c>
      <c r="F189" s="18" t="n">
        <v>46391</v>
      </c>
      <c r="G189" s="17" t="s">
        <v>4</v>
      </c>
      <c r="H189" s="17" t="s">
        <v>4244</v>
      </c>
    </row>
    <row r="190" customFormat="false" ht="15" hidden="false" customHeight="false" outlineLevel="0" collapsed="false">
      <c r="A190" s="17" t="s">
        <v>2194</v>
      </c>
      <c r="B190" s="17" t="s">
        <v>4242</v>
      </c>
      <c r="C190" s="17"/>
      <c r="D190" s="17" t="s">
        <v>4124</v>
      </c>
      <c r="E190" s="17" t="s">
        <v>2186</v>
      </c>
      <c r="F190" s="18" t="n">
        <v>46401</v>
      </c>
      <c r="G190" s="17" t="s">
        <v>3</v>
      </c>
      <c r="H190" s="17"/>
    </row>
    <row r="191" customFormat="false" ht="15" hidden="false" customHeight="false" outlineLevel="0" collapsed="false">
      <c r="A191" s="17" t="s">
        <v>2241</v>
      </c>
      <c r="B191" s="17" t="s">
        <v>4242</v>
      </c>
      <c r="C191" s="17"/>
      <c r="D191" s="17" t="s">
        <v>4124</v>
      </c>
      <c r="E191" s="17" t="s">
        <v>90</v>
      </c>
      <c r="F191" s="18" t="n">
        <v>46303</v>
      </c>
      <c r="G191" s="17" t="s">
        <v>4</v>
      </c>
      <c r="H191" s="17"/>
    </row>
    <row r="192" customFormat="false" ht="15" hidden="false" customHeight="false" outlineLevel="0" collapsed="false">
      <c r="A192" s="17" t="s">
        <v>2250</v>
      </c>
      <c r="B192" s="17" t="s">
        <v>4242</v>
      </c>
      <c r="C192" s="17"/>
      <c r="D192" s="17" t="s">
        <v>4124</v>
      </c>
      <c r="E192" s="17" t="s">
        <v>90</v>
      </c>
      <c r="F192" s="18" t="n">
        <v>46303</v>
      </c>
      <c r="G192" s="17" t="s">
        <v>4</v>
      </c>
      <c r="H192" s="17"/>
    </row>
    <row r="193" customFormat="false" ht="15" hidden="false" customHeight="false" outlineLevel="0" collapsed="false">
      <c r="A193" s="17" t="s">
        <v>286</v>
      </c>
      <c r="B193" s="17" t="s">
        <v>4242</v>
      </c>
      <c r="C193" s="17"/>
      <c r="D193" s="17" t="s">
        <v>4124</v>
      </c>
      <c r="E193" s="17" t="s">
        <v>278</v>
      </c>
      <c r="F193" s="18" t="n">
        <v>46311</v>
      </c>
      <c r="G193" s="17" t="s">
        <v>4</v>
      </c>
      <c r="H193" s="17"/>
    </row>
    <row r="194" customFormat="false" ht="15" hidden="false" customHeight="false" outlineLevel="0" collapsed="false">
      <c r="A194" s="17" t="s">
        <v>67</v>
      </c>
      <c r="B194" s="17" t="s">
        <v>4242</v>
      </c>
      <c r="C194" s="17"/>
      <c r="D194" s="17" t="s">
        <v>4124</v>
      </c>
      <c r="E194" s="17" t="s">
        <v>58</v>
      </c>
      <c r="F194" s="18" t="n">
        <v>46302</v>
      </c>
      <c r="G194" s="17" t="s">
        <v>3</v>
      </c>
      <c r="H194" s="17"/>
    </row>
    <row r="195" customFormat="false" ht="15" hidden="false" customHeight="false" outlineLevel="0" collapsed="false">
      <c r="A195" s="17" t="s">
        <v>218</v>
      </c>
      <c r="B195" s="17" t="s">
        <v>4242</v>
      </c>
      <c r="C195" s="17"/>
      <c r="D195" s="17" t="s">
        <v>4124</v>
      </c>
      <c r="E195" s="17" t="s">
        <v>210</v>
      </c>
      <c r="F195" s="18" t="n">
        <v>46308</v>
      </c>
      <c r="G195" s="17" t="s">
        <v>3</v>
      </c>
      <c r="H195" s="17"/>
    </row>
    <row r="196" customFormat="false" ht="15" hidden="false" customHeight="false" outlineLevel="0" collapsed="false">
      <c r="A196" s="17" t="s">
        <v>2517</v>
      </c>
      <c r="B196" s="17" t="s">
        <v>4242</v>
      </c>
      <c r="C196" s="17"/>
      <c r="D196" s="17" t="s">
        <v>4124</v>
      </c>
      <c r="E196" s="17" t="s">
        <v>452</v>
      </c>
      <c r="F196" s="18" t="n">
        <v>46319</v>
      </c>
      <c r="G196" s="17" t="s">
        <v>4</v>
      </c>
      <c r="H196" s="17"/>
    </row>
    <row r="197" customFormat="false" ht="15" hidden="false" customHeight="false" outlineLevel="0" collapsed="false">
      <c r="A197" s="17" t="s">
        <v>2533</v>
      </c>
      <c r="B197" s="17" t="s">
        <v>4242</v>
      </c>
      <c r="C197" s="17"/>
      <c r="D197" s="17" t="s">
        <v>4124</v>
      </c>
      <c r="E197" s="17" t="s">
        <v>452</v>
      </c>
      <c r="F197" s="18" t="n">
        <v>46319</v>
      </c>
      <c r="G197" s="17" t="s">
        <v>4</v>
      </c>
      <c r="H197" s="17"/>
    </row>
    <row r="198" customFormat="false" ht="15" hidden="false" customHeight="false" outlineLevel="0" collapsed="false">
      <c r="A198" s="17" t="s">
        <v>2701</v>
      </c>
      <c r="B198" s="17" t="s">
        <v>4242</v>
      </c>
      <c r="C198" s="17"/>
      <c r="D198" s="17" t="s">
        <v>4124</v>
      </c>
      <c r="E198" s="17" t="s">
        <v>669</v>
      </c>
      <c r="F198" s="18" t="n">
        <v>46329</v>
      </c>
      <c r="G198" s="17" t="s">
        <v>4</v>
      </c>
      <c r="H198" s="17"/>
    </row>
    <row r="199" customFormat="false" ht="15" hidden="false" customHeight="false" outlineLevel="0" collapsed="false">
      <c r="A199" s="17" t="s">
        <v>2711</v>
      </c>
      <c r="B199" s="17" t="s">
        <v>4242</v>
      </c>
      <c r="C199" s="17"/>
      <c r="D199" s="17" t="s">
        <v>4124</v>
      </c>
      <c r="E199" s="17" t="s">
        <v>669</v>
      </c>
      <c r="F199" s="18" t="n">
        <v>46329</v>
      </c>
      <c r="G199" s="17" t="s">
        <v>4</v>
      </c>
      <c r="H199" s="17"/>
    </row>
    <row r="200" customFormat="false" ht="15" hidden="false" customHeight="false" outlineLevel="0" collapsed="false">
      <c r="A200" s="17" t="s">
        <v>328</v>
      </c>
      <c r="B200" s="17" t="s">
        <v>4242</v>
      </c>
      <c r="C200" s="17"/>
      <c r="D200" s="17" t="s">
        <v>4124</v>
      </c>
      <c r="E200" s="17" t="s">
        <v>321</v>
      </c>
      <c r="F200" s="18" t="n">
        <v>46313</v>
      </c>
      <c r="G200" s="17" t="s">
        <v>3</v>
      </c>
      <c r="H200" s="17"/>
    </row>
    <row r="201" customFormat="false" ht="15" hidden="false" customHeight="false" outlineLevel="0" collapsed="false">
      <c r="A201" s="17" t="s">
        <v>968</v>
      </c>
      <c r="B201" s="17" t="s">
        <v>4242</v>
      </c>
      <c r="C201" s="17"/>
      <c r="D201" s="17" t="s">
        <v>4124</v>
      </c>
      <c r="E201" s="17" t="s">
        <v>960</v>
      </c>
      <c r="F201" s="18" t="n">
        <v>46343</v>
      </c>
      <c r="G201" s="17" t="s">
        <v>4</v>
      </c>
      <c r="H201" s="17"/>
    </row>
    <row r="202" customFormat="false" ht="15" hidden="false" customHeight="false" outlineLevel="0" collapsed="false">
      <c r="A202" s="17" t="s">
        <v>437</v>
      </c>
      <c r="B202" s="17" t="s">
        <v>4242</v>
      </c>
      <c r="C202" s="17"/>
      <c r="D202" s="17" t="s">
        <v>4124</v>
      </c>
      <c r="E202" s="17" t="s">
        <v>429</v>
      </c>
      <c r="F202" s="18" t="n">
        <v>46318</v>
      </c>
      <c r="G202" s="17" t="s">
        <v>3</v>
      </c>
      <c r="H202" s="17"/>
    </row>
    <row r="203" customFormat="false" ht="15" hidden="false" customHeight="false" outlineLevel="0" collapsed="false">
      <c r="A203" s="17" t="s">
        <v>502</v>
      </c>
      <c r="B203" s="17" t="s">
        <v>4242</v>
      </c>
      <c r="C203" s="17"/>
      <c r="D203" s="17" t="s">
        <v>4124</v>
      </c>
      <c r="E203" s="17" t="s">
        <v>495</v>
      </c>
      <c r="F203" s="18" t="n">
        <v>46321</v>
      </c>
      <c r="G203" s="17" t="s">
        <v>3</v>
      </c>
      <c r="H203" s="17"/>
    </row>
    <row r="204" customFormat="false" ht="15" hidden="false" customHeight="false" outlineLevel="0" collapsed="false">
      <c r="A204" s="17" t="s">
        <v>655</v>
      </c>
      <c r="B204" s="17" t="s">
        <v>4242</v>
      </c>
      <c r="C204" s="17"/>
      <c r="D204" s="17" t="s">
        <v>4124</v>
      </c>
      <c r="E204" s="17" t="s">
        <v>648</v>
      </c>
      <c r="F204" s="18" t="n">
        <v>46328</v>
      </c>
      <c r="G204" s="17" t="s">
        <v>3</v>
      </c>
      <c r="H204" s="17"/>
    </row>
    <row r="205" customFormat="false" ht="15" hidden="false" customHeight="false" outlineLevel="0" collapsed="false">
      <c r="A205" s="17" t="s">
        <v>2994</v>
      </c>
      <c r="B205" s="17" t="s">
        <v>4242</v>
      </c>
      <c r="C205" s="17"/>
      <c r="D205" s="17" t="s">
        <v>4124</v>
      </c>
      <c r="E205" s="17" t="s">
        <v>1087</v>
      </c>
      <c r="F205" s="18" t="n">
        <v>46349</v>
      </c>
      <c r="G205" s="17" t="s">
        <v>4</v>
      </c>
      <c r="H205" s="17"/>
    </row>
    <row r="206" customFormat="false" ht="15" hidden="false" customHeight="false" outlineLevel="0" collapsed="false">
      <c r="A206" s="17" t="s">
        <v>3003</v>
      </c>
      <c r="B206" s="17" t="s">
        <v>4242</v>
      </c>
      <c r="C206" s="17"/>
      <c r="D206" s="17" t="s">
        <v>4124</v>
      </c>
      <c r="E206" s="17" t="s">
        <v>1087</v>
      </c>
      <c r="F206" s="18" t="n">
        <v>46349</v>
      </c>
      <c r="G206" s="17" t="s">
        <v>4</v>
      </c>
      <c r="H206" s="17"/>
    </row>
    <row r="207" customFormat="false" ht="15" hidden="false" customHeight="false" outlineLevel="0" collapsed="false">
      <c r="A207" s="17" t="s">
        <v>3108</v>
      </c>
      <c r="B207" s="17" t="s">
        <v>4242</v>
      </c>
      <c r="C207" s="17"/>
      <c r="D207" s="17" t="s">
        <v>4124</v>
      </c>
      <c r="E207" s="17" t="s">
        <v>1272</v>
      </c>
      <c r="F207" s="18" t="n">
        <v>46358</v>
      </c>
      <c r="G207" s="17" t="s">
        <v>4</v>
      </c>
      <c r="H207" s="17"/>
    </row>
    <row r="208" customFormat="false" ht="15" hidden="false" customHeight="false" outlineLevel="0" collapsed="false">
      <c r="A208" s="17" t="s">
        <v>3113</v>
      </c>
      <c r="B208" s="17" t="s">
        <v>4242</v>
      </c>
      <c r="C208" s="17"/>
      <c r="D208" s="17" t="s">
        <v>4124</v>
      </c>
      <c r="E208" s="17" t="s">
        <v>1272</v>
      </c>
      <c r="F208" s="18" t="n">
        <v>46358</v>
      </c>
      <c r="G208" s="17" t="s">
        <v>4</v>
      </c>
      <c r="H208" s="17"/>
    </row>
    <row r="209" customFormat="false" ht="15" hidden="false" customHeight="false" outlineLevel="0" collapsed="false">
      <c r="A209" s="17" t="s">
        <v>775</v>
      </c>
      <c r="B209" s="17" t="s">
        <v>4242</v>
      </c>
      <c r="C209" s="17"/>
      <c r="D209" s="17" t="s">
        <v>4124</v>
      </c>
      <c r="E209" s="17" t="s">
        <v>767</v>
      </c>
      <c r="F209" s="18" t="n">
        <v>46334</v>
      </c>
      <c r="G209" s="17" t="s">
        <v>3</v>
      </c>
      <c r="H209" s="17"/>
    </row>
    <row r="210" customFormat="false" ht="15" hidden="false" customHeight="false" outlineLevel="0" collapsed="false">
      <c r="A210" s="17" t="s">
        <v>924</v>
      </c>
      <c r="B210" s="17" t="s">
        <v>4242</v>
      </c>
      <c r="C210" s="17"/>
      <c r="D210" s="17" t="s">
        <v>4124</v>
      </c>
      <c r="E210" s="17" t="s">
        <v>917</v>
      </c>
      <c r="F210" s="18" t="n">
        <v>46341</v>
      </c>
      <c r="G210" s="17" t="s">
        <v>3</v>
      </c>
      <c r="H210" s="17"/>
    </row>
    <row r="211" customFormat="false" ht="15" hidden="false" customHeight="false" outlineLevel="0" collapsed="false">
      <c r="A211" s="17" t="s">
        <v>3199</v>
      </c>
      <c r="B211" s="17" t="s">
        <v>4242</v>
      </c>
      <c r="C211" s="17"/>
      <c r="D211" s="17" t="s">
        <v>4124</v>
      </c>
      <c r="E211" s="17" t="s">
        <v>1420</v>
      </c>
      <c r="F211" s="18" t="n">
        <v>46365</v>
      </c>
      <c r="G211" s="17" t="s">
        <v>4</v>
      </c>
      <c r="H211" s="17"/>
    </row>
    <row r="212" customFormat="false" ht="15" hidden="false" customHeight="false" outlineLevel="0" collapsed="false">
      <c r="A212" s="17" t="s">
        <v>3207</v>
      </c>
      <c r="B212" s="17" t="s">
        <v>4242</v>
      </c>
      <c r="C212" s="17"/>
      <c r="D212" s="17" t="s">
        <v>4124</v>
      </c>
      <c r="E212" s="17" t="s">
        <v>1420</v>
      </c>
      <c r="F212" s="18" t="n">
        <v>46365</v>
      </c>
      <c r="G212" s="17" t="s">
        <v>4</v>
      </c>
      <c r="H212" s="17"/>
    </row>
    <row r="213" customFormat="false" ht="15" hidden="false" customHeight="false" outlineLevel="0" collapsed="false">
      <c r="A213" s="17" t="s">
        <v>989</v>
      </c>
      <c r="B213" s="17" t="s">
        <v>4242</v>
      </c>
      <c r="C213" s="17"/>
      <c r="D213" s="17" t="s">
        <v>4124</v>
      </c>
      <c r="E213" s="17" t="s">
        <v>982</v>
      </c>
      <c r="F213" s="18" t="n">
        <v>46344</v>
      </c>
      <c r="G213" s="17" t="s">
        <v>3</v>
      </c>
      <c r="H213" s="17"/>
    </row>
    <row r="214" customFormat="false" ht="15" hidden="false" customHeight="false" outlineLevel="0" collapsed="false">
      <c r="A214" s="17" t="s">
        <v>1073</v>
      </c>
      <c r="B214" s="17" t="s">
        <v>4242</v>
      </c>
      <c r="C214" s="17"/>
      <c r="D214" s="17" t="s">
        <v>4124</v>
      </c>
      <c r="E214" s="17" t="s">
        <v>1065</v>
      </c>
      <c r="F214" s="18" t="n">
        <v>46348</v>
      </c>
      <c r="G214" s="17" t="s">
        <v>3</v>
      </c>
      <c r="H214" s="17"/>
    </row>
    <row r="215" customFormat="false" ht="15" hidden="false" customHeight="false" outlineLevel="0" collapsed="false">
      <c r="A215" s="17" t="s">
        <v>1535</v>
      </c>
      <c r="B215" s="17" t="s">
        <v>4242</v>
      </c>
      <c r="C215" s="17"/>
      <c r="D215" s="17" t="s">
        <v>4124</v>
      </c>
      <c r="E215" s="17" t="s">
        <v>1527</v>
      </c>
      <c r="F215" s="18" t="n">
        <v>46370</v>
      </c>
      <c r="G215" s="17" t="s">
        <v>4</v>
      </c>
      <c r="H215" s="17"/>
    </row>
    <row r="216" customFormat="false" ht="15" hidden="false" customHeight="false" outlineLevel="0" collapsed="false">
      <c r="A216" s="17" t="s">
        <v>1195</v>
      </c>
      <c r="B216" s="17" t="s">
        <v>4242</v>
      </c>
      <c r="C216" s="17"/>
      <c r="D216" s="17" t="s">
        <v>4124</v>
      </c>
      <c r="E216" s="17" t="s">
        <v>1187</v>
      </c>
      <c r="F216" s="18" t="n">
        <v>46354</v>
      </c>
      <c r="G216" s="17" t="s">
        <v>3</v>
      </c>
      <c r="H216" s="17"/>
    </row>
    <row r="217" customFormat="false" ht="15" hidden="false" customHeight="false" outlineLevel="0" collapsed="false">
      <c r="A217" s="17" t="s">
        <v>3791</v>
      </c>
      <c r="B217" s="17" t="s">
        <v>4242</v>
      </c>
      <c r="C217" s="17"/>
      <c r="D217" s="17" t="s">
        <v>4124</v>
      </c>
      <c r="E217" s="17" t="s">
        <v>114</v>
      </c>
      <c r="F217" s="18" t="n">
        <v>46304</v>
      </c>
      <c r="G217" s="17" t="s">
        <v>5</v>
      </c>
      <c r="H217" s="17"/>
    </row>
    <row r="218" customFormat="false" ht="15" hidden="false" customHeight="false" outlineLevel="0" collapsed="false">
      <c r="A218" s="17" t="s">
        <v>3794</v>
      </c>
      <c r="B218" s="17" t="s">
        <v>4242</v>
      </c>
      <c r="C218" s="17"/>
      <c r="D218" s="17" t="s">
        <v>4124</v>
      </c>
      <c r="E218" s="17" t="s">
        <v>114</v>
      </c>
      <c r="F218" s="18" t="n">
        <v>46304</v>
      </c>
      <c r="G218" s="17" t="s">
        <v>5</v>
      </c>
      <c r="H218" s="17"/>
    </row>
    <row r="219" customFormat="false" ht="15" hidden="false" customHeight="false" outlineLevel="0" collapsed="false">
      <c r="A219" s="17" t="s">
        <v>3884</v>
      </c>
      <c r="B219" s="17" t="s">
        <v>4242</v>
      </c>
      <c r="C219" s="17"/>
      <c r="D219" s="17" t="s">
        <v>4124</v>
      </c>
      <c r="E219" s="17" t="s">
        <v>788</v>
      </c>
      <c r="F219" s="18" t="n">
        <v>46335</v>
      </c>
      <c r="G219" s="17" t="s">
        <v>5</v>
      </c>
      <c r="H219" s="17"/>
    </row>
    <row r="220" customFormat="false" ht="15" hidden="false" customHeight="false" outlineLevel="0" collapsed="false">
      <c r="A220" s="17" t="s">
        <v>3887</v>
      </c>
      <c r="B220" s="17" t="s">
        <v>4242</v>
      </c>
      <c r="C220" s="17"/>
      <c r="D220" s="17" t="s">
        <v>4124</v>
      </c>
      <c r="E220" s="17" t="s">
        <v>788</v>
      </c>
      <c r="F220" s="18" t="n">
        <v>46335</v>
      </c>
      <c r="G220" s="17" t="s">
        <v>5</v>
      </c>
      <c r="H220" s="17"/>
    </row>
    <row r="221" customFormat="false" ht="15" hidden="false" customHeight="false" outlineLevel="0" collapsed="false">
      <c r="A221" s="17" t="s">
        <v>1236</v>
      </c>
      <c r="B221" s="17" t="s">
        <v>4242</v>
      </c>
      <c r="C221" s="17"/>
      <c r="D221" s="17" t="s">
        <v>4124</v>
      </c>
      <c r="E221" s="17" t="s">
        <v>1229</v>
      </c>
      <c r="F221" s="18" t="n">
        <v>46356</v>
      </c>
      <c r="G221" s="17" t="s">
        <v>3</v>
      </c>
      <c r="H221" s="17"/>
    </row>
    <row r="222" customFormat="false" ht="15" hidden="false" customHeight="false" outlineLevel="0" collapsed="false">
      <c r="A222" s="17" t="s">
        <v>1599</v>
      </c>
      <c r="B222" s="17" t="s">
        <v>4242</v>
      </c>
      <c r="C222" s="17"/>
      <c r="D222" s="17" t="s">
        <v>4124</v>
      </c>
      <c r="E222" s="17" t="s">
        <v>1592</v>
      </c>
      <c r="F222" s="18" t="n">
        <v>46373</v>
      </c>
      <c r="G222" s="17" t="s">
        <v>4</v>
      </c>
      <c r="H222" s="17"/>
    </row>
    <row r="223" customFormat="false" ht="15" hidden="false" customHeight="false" outlineLevel="0" collapsed="false">
      <c r="A223" s="17" t="s">
        <v>1341</v>
      </c>
      <c r="B223" s="17" t="s">
        <v>4242</v>
      </c>
      <c r="C223" s="17"/>
      <c r="D223" s="17" t="s">
        <v>4124</v>
      </c>
      <c r="E223" s="17" t="s">
        <v>1334</v>
      </c>
      <c r="F223" s="18" t="n">
        <v>46361</v>
      </c>
      <c r="G223" s="17" t="s">
        <v>3</v>
      </c>
      <c r="H223" s="17"/>
    </row>
    <row r="224" customFormat="false" ht="15" hidden="false" customHeight="false" outlineLevel="0" collapsed="false">
      <c r="A224" s="17" t="s">
        <v>1384</v>
      </c>
      <c r="B224" s="17" t="s">
        <v>4242</v>
      </c>
      <c r="C224" s="17"/>
      <c r="D224" s="17" t="s">
        <v>4124</v>
      </c>
      <c r="E224" s="17" t="s">
        <v>1376</v>
      </c>
      <c r="F224" s="18" t="n">
        <v>46363</v>
      </c>
      <c r="G224" s="17" t="s">
        <v>3</v>
      </c>
      <c r="H224" s="17"/>
    </row>
    <row r="225" customFormat="false" ht="15" hidden="false" customHeight="false" outlineLevel="0" collapsed="false">
      <c r="A225" s="17" t="s">
        <v>138</v>
      </c>
      <c r="B225" s="17" t="s">
        <v>4242</v>
      </c>
      <c r="C225" s="17"/>
      <c r="D225" s="17" t="s">
        <v>4124</v>
      </c>
      <c r="E225" s="17" t="s">
        <v>130</v>
      </c>
      <c r="F225" s="18" t="n">
        <v>46304</v>
      </c>
      <c r="G225" s="17" t="s">
        <v>3</v>
      </c>
      <c r="H225" s="17"/>
    </row>
    <row r="226" customFormat="false" ht="15" hidden="false" customHeight="false" outlineLevel="0" collapsed="false">
      <c r="A226" s="17" t="s">
        <v>2287</v>
      </c>
      <c r="B226" s="17" t="s">
        <v>4242</v>
      </c>
      <c r="C226" s="17"/>
      <c r="D226" s="17" t="s">
        <v>4124</v>
      </c>
      <c r="E226" s="17" t="s">
        <v>176</v>
      </c>
      <c r="F226" s="18" t="n">
        <v>46306</v>
      </c>
      <c r="G226" s="17" t="s">
        <v>4</v>
      </c>
      <c r="H226" s="17"/>
    </row>
    <row r="227" customFormat="false" ht="15" hidden="false" customHeight="false" outlineLevel="0" collapsed="false">
      <c r="A227" s="17" t="s">
        <v>2300</v>
      </c>
      <c r="B227" s="17" t="s">
        <v>4242</v>
      </c>
      <c r="C227" s="17"/>
      <c r="D227" s="17" t="s">
        <v>4124</v>
      </c>
      <c r="E227" s="17" t="s">
        <v>176</v>
      </c>
      <c r="F227" s="18" t="n">
        <v>46306</v>
      </c>
      <c r="G227" s="17" t="s">
        <v>4</v>
      </c>
      <c r="H227" s="17"/>
    </row>
    <row r="228" customFormat="false" ht="15" hidden="false" customHeight="false" outlineLevel="0" collapsed="false">
      <c r="A228" s="17" t="s">
        <v>275</v>
      </c>
      <c r="B228" s="17" t="s">
        <v>4242</v>
      </c>
      <c r="C228" s="17"/>
      <c r="D228" s="17" t="s">
        <v>4124</v>
      </c>
      <c r="E228" s="17" t="s">
        <v>267</v>
      </c>
      <c r="F228" s="18" t="n">
        <v>46310</v>
      </c>
      <c r="G228" s="17" t="s">
        <v>3</v>
      </c>
      <c r="H228" s="17"/>
    </row>
    <row r="229" customFormat="false" ht="15" hidden="false" customHeight="false" outlineLevel="0" collapsed="false">
      <c r="A229" s="17" t="s">
        <v>338</v>
      </c>
      <c r="B229" s="17" t="s">
        <v>4242</v>
      </c>
      <c r="C229" s="17"/>
      <c r="D229" s="17" t="s">
        <v>4124</v>
      </c>
      <c r="E229" s="17" t="s">
        <v>331</v>
      </c>
      <c r="F229" s="18" t="n">
        <v>46313</v>
      </c>
      <c r="G229" s="17" t="s">
        <v>4</v>
      </c>
      <c r="H229" s="17"/>
    </row>
    <row r="230" customFormat="false" ht="15" hidden="false" customHeight="false" outlineLevel="0" collapsed="false">
      <c r="A230" s="17" t="s">
        <v>380</v>
      </c>
      <c r="B230" s="17" t="s">
        <v>4242</v>
      </c>
      <c r="C230" s="17"/>
      <c r="D230" s="17" t="s">
        <v>4124</v>
      </c>
      <c r="E230" s="17" t="s">
        <v>372</v>
      </c>
      <c r="F230" s="18" t="n">
        <v>46315</v>
      </c>
      <c r="G230" s="17" t="s">
        <v>3</v>
      </c>
      <c r="H230" s="17"/>
    </row>
    <row r="231" customFormat="false" ht="15" hidden="false" customHeight="false" outlineLevel="0" collapsed="false">
      <c r="A231" s="17" t="s">
        <v>470</v>
      </c>
      <c r="B231" s="17" t="s">
        <v>4242</v>
      </c>
      <c r="C231" s="17"/>
      <c r="D231" s="17" t="s">
        <v>4124</v>
      </c>
      <c r="E231" s="17" t="s">
        <v>463</v>
      </c>
      <c r="F231" s="18" t="n">
        <v>46319</v>
      </c>
      <c r="G231" s="17" t="s">
        <v>3</v>
      </c>
      <c r="H231" s="17"/>
    </row>
    <row r="232" customFormat="false" ht="15" hidden="false" customHeight="false" outlineLevel="0" collapsed="false">
      <c r="A232" s="17" t="s">
        <v>2540</v>
      </c>
      <c r="B232" s="17" t="s">
        <v>4242</v>
      </c>
      <c r="C232" s="17"/>
      <c r="D232" s="17" t="s">
        <v>4124</v>
      </c>
      <c r="E232" s="17" t="s">
        <v>473</v>
      </c>
      <c r="F232" s="18" t="n">
        <v>46320</v>
      </c>
      <c r="G232" s="17" t="s">
        <v>4</v>
      </c>
      <c r="H232" s="17"/>
    </row>
    <row r="233" customFormat="false" ht="15" hidden="false" customHeight="false" outlineLevel="0" collapsed="false">
      <c r="A233" s="17" t="s">
        <v>2553</v>
      </c>
      <c r="B233" s="17" t="s">
        <v>4242</v>
      </c>
      <c r="C233" s="17"/>
      <c r="D233" s="17" t="s">
        <v>4124</v>
      </c>
      <c r="E233" s="17" t="s">
        <v>473</v>
      </c>
      <c r="F233" s="18" t="n">
        <v>46320</v>
      </c>
      <c r="G233" s="17" t="s">
        <v>4</v>
      </c>
      <c r="H233" s="17"/>
    </row>
    <row r="234" customFormat="false" ht="15" hidden="false" customHeight="false" outlineLevel="0" collapsed="false">
      <c r="A234" s="17" t="s">
        <v>3816</v>
      </c>
      <c r="B234" s="17" t="s">
        <v>4242</v>
      </c>
      <c r="C234" s="17"/>
      <c r="D234" s="17" t="s">
        <v>4124</v>
      </c>
      <c r="E234" s="17" t="s">
        <v>300</v>
      </c>
      <c r="F234" s="18" t="n">
        <v>46312</v>
      </c>
      <c r="G234" s="17" t="s">
        <v>5</v>
      </c>
      <c r="H234" s="17"/>
    </row>
    <row r="235" customFormat="false" ht="15" hidden="false" customHeight="false" outlineLevel="0" collapsed="false">
      <c r="A235" s="17" t="s">
        <v>3819</v>
      </c>
      <c r="B235" s="17" t="s">
        <v>4242</v>
      </c>
      <c r="C235" s="17"/>
      <c r="D235" s="17" t="s">
        <v>4124</v>
      </c>
      <c r="E235" s="17" t="s">
        <v>300</v>
      </c>
      <c r="F235" s="18" t="n">
        <v>46312</v>
      </c>
      <c r="G235" s="17" t="s">
        <v>5</v>
      </c>
      <c r="H235" s="17"/>
    </row>
    <row r="236" customFormat="false" ht="15" hidden="false" customHeight="false" outlineLevel="0" collapsed="false">
      <c r="A236" s="17" t="s">
        <v>537</v>
      </c>
      <c r="B236" s="17" t="s">
        <v>4242</v>
      </c>
      <c r="C236" s="17"/>
      <c r="D236" s="17" t="s">
        <v>4124</v>
      </c>
      <c r="E236" s="17" t="s">
        <v>530</v>
      </c>
      <c r="F236" s="18" t="n">
        <v>46322</v>
      </c>
      <c r="G236" s="17" t="s">
        <v>3</v>
      </c>
      <c r="H236" s="17"/>
    </row>
    <row r="237" customFormat="false" ht="15" hidden="false" customHeight="false" outlineLevel="0" collapsed="false">
      <c r="A237" s="17" t="s">
        <v>688</v>
      </c>
      <c r="B237" s="17" t="s">
        <v>4242</v>
      </c>
      <c r="C237" s="17"/>
      <c r="D237" s="17" t="s">
        <v>4124</v>
      </c>
      <c r="E237" s="17" t="s">
        <v>680</v>
      </c>
      <c r="F237" s="18" t="n">
        <v>46329</v>
      </c>
      <c r="G237" s="17" t="s">
        <v>3</v>
      </c>
      <c r="H237" s="17"/>
    </row>
    <row r="238" customFormat="false" ht="15" hidden="false" customHeight="false" outlineLevel="0" collapsed="false">
      <c r="A238" s="17" t="s">
        <v>764</v>
      </c>
      <c r="B238" s="17" t="s">
        <v>4242</v>
      </c>
      <c r="C238" s="17"/>
      <c r="D238" s="17" t="s">
        <v>4124</v>
      </c>
      <c r="E238" s="17" t="s">
        <v>757</v>
      </c>
      <c r="F238" s="18" t="n">
        <v>46333</v>
      </c>
      <c r="G238" s="17" t="s">
        <v>4</v>
      </c>
      <c r="H238" s="17"/>
    </row>
    <row r="239" customFormat="false" ht="15" hidden="false" customHeight="false" outlineLevel="0" collapsed="false">
      <c r="A239" s="17" t="s">
        <v>849</v>
      </c>
      <c r="B239" s="17" t="s">
        <v>4242</v>
      </c>
      <c r="C239" s="17"/>
      <c r="D239" s="17" t="s">
        <v>4124</v>
      </c>
      <c r="E239" s="17" t="s">
        <v>841</v>
      </c>
      <c r="F239" s="18" t="n">
        <v>46337</v>
      </c>
      <c r="G239" s="17" t="s">
        <v>3</v>
      </c>
      <c r="H239" s="17"/>
    </row>
    <row r="240" customFormat="false" ht="15" hidden="false" customHeight="false" outlineLevel="0" collapsed="false">
      <c r="A240" s="17" t="s">
        <v>944</v>
      </c>
      <c r="B240" s="17" t="s">
        <v>4242</v>
      </c>
      <c r="C240" s="17"/>
      <c r="D240" s="17" t="s">
        <v>4124</v>
      </c>
      <c r="E240" s="17" t="s">
        <v>937</v>
      </c>
      <c r="F240" s="18" t="n">
        <v>46342</v>
      </c>
      <c r="G240" s="17" t="s">
        <v>3</v>
      </c>
      <c r="H240" s="17"/>
    </row>
    <row r="241" customFormat="false" ht="15" hidden="false" customHeight="false" outlineLevel="0" collapsed="false">
      <c r="A241" s="17" t="s">
        <v>2924</v>
      </c>
      <c r="B241" s="17" t="s">
        <v>4242</v>
      </c>
      <c r="C241" s="17"/>
      <c r="D241" s="17" t="s">
        <v>4124</v>
      </c>
      <c r="E241" s="17" t="s">
        <v>992</v>
      </c>
      <c r="F241" s="18" t="n">
        <v>46344</v>
      </c>
      <c r="G241" s="17" t="s">
        <v>4</v>
      </c>
      <c r="H241" s="17"/>
    </row>
    <row r="242" customFormat="false" ht="15" hidden="false" customHeight="false" outlineLevel="0" collapsed="false">
      <c r="A242" s="17" t="s">
        <v>2933</v>
      </c>
      <c r="B242" s="17" t="s">
        <v>4242</v>
      </c>
      <c r="C242" s="17"/>
      <c r="D242" s="17" t="s">
        <v>4124</v>
      </c>
      <c r="E242" s="17" t="s">
        <v>992</v>
      </c>
      <c r="F242" s="18" t="n">
        <v>46344</v>
      </c>
      <c r="G242" s="17" t="s">
        <v>4</v>
      </c>
      <c r="H242" s="17"/>
    </row>
    <row r="243" customFormat="false" ht="15" hidden="false" customHeight="false" outlineLevel="0" collapsed="false">
      <c r="A243" s="17" t="s">
        <v>3918</v>
      </c>
      <c r="B243" s="17" t="s">
        <v>4242</v>
      </c>
      <c r="C243" s="17"/>
      <c r="D243" s="17" t="s">
        <v>4124</v>
      </c>
      <c r="E243" s="17" t="s">
        <v>1011</v>
      </c>
      <c r="F243" s="18" t="n">
        <v>46345</v>
      </c>
      <c r="G243" s="17" t="s">
        <v>5</v>
      </c>
      <c r="H243" s="17"/>
    </row>
    <row r="244" customFormat="false" ht="15" hidden="false" customHeight="false" outlineLevel="0" collapsed="false">
      <c r="A244" s="17" t="s">
        <v>3921</v>
      </c>
      <c r="B244" s="17" t="s">
        <v>4242</v>
      </c>
      <c r="C244" s="17"/>
      <c r="D244" s="17" t="s">
        <v>4124</v>
      </c>
      <c r="E244" s="17" t="s">
        <v>1011</v>
      </c>
      <c r="F244" s="18" t="n">
        <v>46345</v>
      </c>
      <c r="G244" s="17" t="s">
        <v>5</v>
      </c>
      <c r="H244" s="17"/>
    </row>
    <row r="245" customFormat="false" ht="15" hidden="false" customHeight="false" outlineLevel="0" collapsed="false">
      <c r="A245" s="17" t="s">
        <v>1040</v>
      </c>
      <c r="B245" s="17" t="s">
        <v>4242</v>
      </c>
      <c r="C245" s="17"/>
      <c r="D245" s="17" t="s">
        <v>4124</v>
      </c>
      <c r="E245" s="17" t="s">
        <v>1033</v>
      </c>
      <c r="F245" s="18" t="n">
        <v>46346</v>
      </c>
      <c r="G245" s="17" t="s">
        <v>3</v>
      </c>
      <c r="H245" s="17"/>
    </row>
    <row r="246" customFormat="false" ht="15" hidden="false" customHeight="false" outlineLevel="0" collapsed="false">
      <c r="A246" s="17" t="s">
        <v>1134</v>
      </c>
      <c r="B246" s="17" t="s">
        <v>4242</v>
      </c>
      <c r="C246" s="17"/>
      <c r="D246" s="17" t="s">
        <v>4124</v>
      </c>
      <c r="E246" s="17" t="s">
        <v>1126</v>
      </c>
      <c r="F246" s="18" t="n">
        <v>46351</v>
      </c>
      <c r="G246" s="17" t="s">
        <v>3</v>
      </c>
      <c r="H246" s="17"/>
    </row>
    <row r="247" customFormat="false" ht="15" hidden="false" customHeight="false" outlineLevel="0" collapsed="false">
      <c r="A247" s="17" t="s">
        <v>2311</v>
      </c>
      <c r="B247" s="17" t="s">
        <v>4242</v>
      </c>
      <c r="C247" s="17"/>
      <c r="D247" s="17" t="s">
        <v>4124</v>
      </c>
      <c r="E247" s="17" t="s">
        <v>222</v>
      </c>
      <c r="F247" s="18" t="n">
        <v>46308</v>
      </c>
      <c r="G247" s="17" t="s">
        <v>4</v>
      </c>
      <c r="H247" s="17"/>
    </row>
    <row r="248" customFormat="false" ht="15" hidden="false" customHeight="false" outlineLevel="0" collapsed="false">
      <c r="A248" s="17" t="s">
        <v>2320</v>
      </c>
      <c r="B248" s="17" t="s">
        <v>4242</v>
      </c>
      <c r="C248" s="17"/>
      <c r="D248" s="17" t="s">
        <v>4124</v>
      </c>
      <c r="E248" s="17" t="s">
        <v>222</v>
      </c>
      <c r="F248" s="18" t="n">
        <v>46308</v>
      </c>
      <c r="G248" s="17" t="s">
        <v>4</v>
      </c>
      <c r="H248" s="17"/>
    </row>
    <row r="249" customFormat="false" ht="15" hidden="false" customHeight="false" outlineLevel="0" collapsed="false">
      <c r="A249" s="17" t="s">
        <v>196</v>
      </c>
      <c r="B249" s="17" t="s">
        <v>4242</v>
      </c>
      <c r="C249" s="17"/>
      <c r="D249" s="17" t="s">
        <v>4124</v>
      </c>
      <c r="E249" s="17" t="s">
        <v>189</v>
      </c>
      <c r="F249" s="18" t="n">
        <v>46307</v>
      </c>
      <c r="G249" s="17" t="s">
        <v>3</v>
      </c>
      <c r="H249" s="17"/>
    </row>
    <row r="250" customFormat="false" ht="15" hidden="false" customHeight="false" outlineLevel="0" collapsed="false">
      <c r="A250" s="17" t="s">
        <v>297</v>
      </c>
      <c r="B250" s="17" t="s">
        <v>4242</v>
      </c>
      <c r="C250" s="17"/>
      <c r="D250" s="17" t="s">
        <v>4124</v>
      </c>
      <c r="E250" s="17" t="s">
        <v>289</v>
      </c>
      <c r="F250" s="18" t="n">
        <v>46311</v>
      </c>
      <c r="G250" s="17" t="s">
        <v>3</v>
      </c>
      <c r="H250" s="17"/>
    </row>
    <row r="251" customFormat="false" ht="15" hidden="false" customHeight="false" outlineLevel="0" collapsed="false">
      <c r="A251" s="17" t="s">
        <v>415</v>
      </c>
      <c r="B251" s="17" t="s">
        <v>4242</v>
      </c>
      <c r="C251" s="17"/>
      <c r="D251" s="17" t="s">
        <v>4124</v>
      </c>
      <c r="E251" s="17" t="s">
        <v>407</v>
      </c>
      <c r="F251" s="18" t="n">
        <v>46317</v>
      </c>
      <c r="G251" s="17" t="s">
        <v>3</v>
      </c>
      <c r="H251" s="17"/>
    </row>
    <row r="252" customFormat="false" ht="15" hidden="false" customHeight="false" outlineLevel="0" collapsed="false">
      <c r="A252" s="17" t="s">
        <v>391</v>
      </c>
      <c r="B252" s="17" t="s">
        <v>4242</v>
      </c>
      <c r="C252" s="17"/>
      <c r="D252" s="17" t="s">
        <v>4124</v>
      </c>
      <c r="E252" s="17" t="s">
        <v>383</v>
      </c>
      <c r="F252" s="18" t="n">
        <v>46316</v>
      </c>
      <c r="G252" s="17" t="s">
        <v>4</v>
      </c>
      <c r="H252" s="17"/>
    </row>
    <row r="253" customFormat="false" ht="15" hidden="false" customHeight="false" outlineLevel="0" collapsed="false">
      <c r="A253" s="17" t="s">
        <v>492</v>
      </c>
      <c r="B253" s="17" t="s">
        <v>4242</v>
      </c>
      <c r="C253" s="17"/>
      <c r="D253" s="17" t="s">
        <v>4124</v>
      </c>
      <c r="E253" s="17" t="s">
        <v>484</v>
      </c>
      <c r="F253" s="18" t="n">
        <v>46320</v>
      </c>
      <c r="G253" s="17" t="s">
        <v>3</v>
      </c>
      <c r="H253" s="17"/>
    </row>
    <row r="254" customFormat="false" ht="15" hidden="false" customHeight="false" outlineLevel="0" collapsed="false">
      <c r="A254" s="17" t="s">
        <v>589</v>
      </c>
      <c r="B254" s="17" t="s">
        <v>4242</v>
      </c>
      <c r="C254" s="17"/>
      <c r="D254" s="17" t="s">
        <v>4124</v>
      </c>
      <c r="E254" s="17" t="s">
        <v>582</v>
      </c>
      <c r="F254" s="18" t="n">
        <v>46325</v>
      </c>
      <c r="G254" s="17" t="s">
        <v>3</v>
      </c>
      <c r="H254" s="17"/>
    </row>
    <row r="255" customFormat="false" ht="15" hidden="false" customHeight="false" outlineLevel="0" collapsed="false">
      <c r="A255" s="17" t="s">
        <v>746</v>
      </c>
      <c r="B255" s="17" t="s">
        <v>4242</v>
      </c>
      <c r="C255" s="17"/>
      <c r="D255" s="17" t="s">
        <v>4124</v>
      </c>
      <c r="E255" s="17" t="s">
        <v>738</v>
      </c>
      <c r="F255" s="18" t="n">
        <v>46332</v>
      </c>
      <c r="G255" s="17" t="s">
        <v>3</v>
      </c>
      <c r="H255" s="17"/>
    </row>
    <row r="256" customFormat="false" ht="15" hidden="false" customHeight="false" outlineLevel="0" collapsed="false">
      <c r="A256" s="17" t="s">
        <v>449</v>
      </c>
      <c r="B256" s="17" t="s">
        <v>4242</v>
      </c>
      <c r="C256" s="17"/>
      <c r="D256" s="17" t="s">
        <v>4124</v>
      </c>
      <c r="E256" s="17" t="s">
        <v>440</v>
      </c>
      <c r="F256" s="18" t="n">
        <v>46318</v>
      </c>
      <c r="G256" s="17" t="s">
        <v>5</v>
      </c>
      <c r="H256" s="17"/>
    </row>
    <row r="257" customFormat="false" ht="15" hidden="false" customHeight="false" outlineLevel="0" collapsed="false">
      <c r="A257" s="17" t="s">
        <v>893</v>
      </c>
      <c r="B257" s="17" t="s">
        <v>4242</v>
      </c>
      <c r="C257" s="17"/>
      <c r="D257" s="17" t="s">
        <v>4124</v>
      </c>
      <c r="E257" s="17" t="s">
        <v>885</v>
      </c>
      <c r="F257" s="18" t="n">
        <v>46339</v>
      </c>
      <c r="G257" s="17" t="s">
        <v>3</v>
      </c>
      <c r="H257" s="17"/>
    </row>
    <row r="258" customFormat="false" ht="15" hidden="false" customHeight="false" outlineLevel="0" collapsed="false">
      <c r="A258" s="17" t="s">
        <v>979</v>
      </c>
      <c r="B258" s="17" t="s">
        <v>4242</v>
      </c>
      <c r="C258" s="17"/>
      <c r="D258" s="17" t="s">
        <v>4124</v>
      </c>
      <c r="E258" s="17" t="s">
        <v>971</v>
      </c>
      <c r="F258" s="18" t="n">
        <v>46343</v>
      </c>
      <c r="G258" s="17" t="s">
        <v>3</v>
      </c>
      <c r="H258" s="17"/>
    </row>
    <row r="259" customFormat="false" ht="15" hidden="false" customHeight="false" outlineLevel="0" collapsed="false">
      <c r="A259" s="17" t="s">
        <v>242</v>
      </c>
      <c r="B259" s="17" t="s">
        <v>4242</v>
      </c>
      <c r="C259" s="17"/>
      <c r="D259" s="17" t="s">
        <v>4124</v>
      </c>
      <c r="E259" s="17" t="s">
        <v>234</v>
      </c>
      <c r="F259" s="18" t="n">
        <v>46309</v>
      </c>
      <c r="G259" s="17" t="s">
        <v>4</v>
      </c>
      <c r="H259" s="17"/>
    </row>
    <row r="260" customFormat="false" ht="15" hidden="false" customHeight="false" outlineLevel="0" collapsed="false">
      <c r="A260" s="17" t="s">
        <v>3860</v>
      </c>
      <c r="B260" s="17" t="s">
        <v>4242</v>
      </c>
      <c r="C260" s="17"/>
      <c r="D260" s="17" t="s">
        <v>4124</v>
      </c>
      <c r="E260" s="17" t="s">
        <v>636</v>
      </c>
      <c r="F260" s="18" t="n">
        <v>46327</v>
      </c>
      <c r="G260" s="17" t="s">
        <v>5</v>
      </c>
      <c r="H260" s="17"/>
    </row>
    <row r="261" customFormat="false" ht="15" hidden="false" customHeight="false" outlineLevel="0" collapsed="false">
      <c r="A261" s="17" t="s">
        <v>3863</v>
      </c>
      <c r="B261" s="17" t="s">
        <v>4242</v>
      </c>
      <c r="C261" s="17"/>
      <c r="D261" s="17" t="s">
        <v>4124</v>
      </c>
      <c r="E261" s="17" t="s">
        <v>636</v>
      </c>
      <c r="F261" s="18" t="n">
        <v>46327</v>
      </c>
      <c r="G261" s="17" t="s">
        <v>5</v>
      </c>
      <c r="H261" s="17"/>
    </row>
    <row r="262" customFormat="false" ht="15" hidden="false" customHeight="false" outlineLevel="0" collapsed="false">
      <c r="A262" s="17" t="s">
        <v>207</v>
      </c>
      <c r="B262" s="17" t="s">
        <v>4242</v>
      </c>
      <c r="C262" s="17"/>
      <c r="D262" s="17" t="s">
        <v>4124</v>
      </c>
      <c r="E262" s="17" t="s">
        <v>199</v>
      </c>
      <c r="F262" s="18" t="n">
        <v>46307</v>
      </c>
      <c r="G262" s="17" t="s">
        <v>3</v>
      </c>
      <c r="H262" s="17"/>
    </row>
    <row r="263" customFormat="false" ht="15" hidden="false" customHeight="false" outlineLevel="0" collapsed="false">
      <c r="A263" s="17" t="s">
        <v>318</v>
      </c>
      <c r="B263" s="17" t="s">
        <v>4242</v>
      </c>
      <c r="C263" s="17"/>
      <c r="D263" s="17" t="s">
        <v>4124</v>
      </c>
      <c r="E263" s="17" t="s">
        <v>311</v>
      </c>
      <c r="F263" s="18" t="n">
        <v>46312</v>
      </c>
      <c r="G263" s="17" t="s">
        <v>3</v>
      </c>
      <c r="H263" s="17"/>
    </row>
    <row r="264" customFormat="false" ht="15" hidden="false" customHeight="false" outlineLevel="0" collapsed="false">
      <c r="A264" s="17" t="s">
        <v>426</v>
      </c>
      <c r="B264" s="17" t="s">
        <v>4242</v>
      </c>
      <c r="C264" s="17"/>
      <c r="D264" s="17" t="s">
        <v>4124</v>
      </c>
      <c r="E264" s="17" t="s">
        <v>418</v>
      </c>
      <c r="F264" s="18" t="n">
        <v>46317</v>
      </c>
      <c r="G264" s="17" t="s">
        <v>4</v>
      </c>
      <c r="H264" s="17"/>
    </row>
  </sheetData>
  <autoFilter ref="A1:H2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9"/>
    <col collapsed="false" customWidth="true" hidden="false" outlineLevel="0" max="4" min="4" style="0" width="17"/>
    <col collapsed="false" customWidth="true" hidden="false" outlineLevel="0" max="5" min="5" style="0" width="19"/>
    <col collapsed="false" customWidth="true" hidden="false" outlineLevel="0" max="6" min="6" style="0" width="15"/>
    <col collapsed="false" customWidth="true" hidden="false" outlineLevel="0" max="7" min="7" style="0" width="26"/>
  </cols>
  <sheetData>
    <row r="1" customFormat="false" ht="30" hidden="false" customHeight="true" outlineLevel="0" collapsed="false">
      <c r="A1" s="7" t="s">
        <v>52</v>
      </c>
      <c r="B1" s="7" t="s">
        <v>53</v>
      </c>
      <c r="C1" s="7" t="s">
        <v>35</v>
      </c>
      <c r="D1" s="7" t="s">
        <v>4255</v>
      </c>
      <c r="E1" s="7" t="s">
        <v>150</v>
      </c>
      <c r="F1" s="7" t="s">
        <v>175</v>
      </c>
      <c r="G1" s="7" t="s">
        <v>4256</v>
      </c>
    </row>
    <row r="2" customFormat="false" ht="23.85" hidden="false" customHeight="false" outlineLevel="0" collapsed="false">
      <c r="A2" s="11" t="s">
        <v>86</v>
      </c>
      <c r="B2" s="16" t="n">
        <v>46306</v>
      </c>
      <c r="C2" s="11" t="s">
        <v>9</v>
      </c>
      <c r="D2" s="16" t="n">
        <v>46302</v>
      </c>
      <c r="E2" s="16" t="n">
        <v>46305</v>
      </c>
      <c r="F2" s="16" t="n">
        <v>46306</v>
      </c>
      <c r="G2" s="11" t="s">
        <v>4257</v>
      </c>
    </row>
    <row r="3" customFormat="false" ht="23.85" hidden="false" customHeight="false" outlineLevel="0" collapsed="false">
      <c r="A3" s="11" t="s">
        <v>161</v>
      </c>
      <c r="B3" s="16" t="n">
        <v>46315</v>
      </c>
      <c r="C3" s="11" t="s">
        <v>9</v>
      </c>
      <c r="D3" s="16" t="n">
        <v>46305</v>
      </c>
      <c r="E3" s="16" t="n">
        <v>46314</v>
      </c>
      <c r="F3" s="16" t="n">
        <v>46315</v>
      </c>
      <c r="G3" s="11" t="s">
        <v>4258</v>
      </c>
    </row>
    <row r="4" customFormat="false" ht="23.85" hidden="false" customHeight="false" outlineLevel="0" collapsed="false">
      <c r="A4" s="11" t="s">
        <v>359</v>
      </c>
      <c r="B4" s="16" t="n">
        <v>46324</v>
      </c>
      <c r="C4" s="11" t="s">
        <v>9</v>
      </c>
      <c r="D4" s="16" t="n">
        <v>46314</v>
      </c>
      <c r="E4" s="16" t="n">
        <v>46323</v>
      </c>
      <c r="F4" s="16" t="n">
        <v>46324</v>
      </c>
      <c r="G4" s="11" t="s">
        <v>4259</v>
      </c>
    </row>
    <row r="5" customFormat="false" ht="23.85" hidden="false" customHeight="false" outlineLevel="0" collapsed="false">
      <c r="A5" s="11" t="s">
        <v>404</v>
      </c>
      <c r="B5" s="16" t="n">
        <v>46326</v>
      </c>
      <c r="C5" s="11" t="s">
        <v>10</v>
      </c>
      <c r="D5" s="16" t="n">
        <v>46316</v>
      </c>
      <c r="E5" s="16" t="n">
        <v>46325</v>
      </c>
      <c r="F5" s="16" t="n">
        <v>46326</v>
      </c>
      <c r="G5" s="11" t="s">
        <v>4260</v>
      </c>
    </row>
    <row r="6" customFormat="false" ht="23.85" hidden="false" customHeight="false" outlineLevel="0" collapsed="false">
      <c r="A6" s="11" t="s">
        <v>514</v>
      </c>
      <c r="B6" s="16" t="n">
        <v>46331</v>
      </c>
      <c r="C6" s="11" t="s">
        <v>11</v>
      </c>
      <c r="D6" s="16" t="n">
        <v>46321</v>
      </c>
      <c r="E6" s="16" t="n">
        <v>46330</v>
      </c>
      <c r="F6" s="16" t="n">
        <v>46331</v>
      </c>
      <c r="G6" s="11" t="s">
        <v>4261</v>
      </c>
    </row>
    <row r="7" customFormat="false" ht="23.85" hidden="false" customHeight="false" outlineLevel="0" collapsed="false">
      <c r="A7" s="11" t="s">
        <v>527</v>
      </c>
      <c r="B7" s="16" t="n">
        <v>46332</v>
      </c>
      <c r="C7" s="11" t="s">
        <v>9</v>
      </c>
      <c r="D7" s="16" t="n">
        <v>46322</v>
      </c>
      <c r="E7" s="16" t="n">
        <v>46331</v>
      </c>
      <c r="F7" s="16" t="n">
        <v>46332</v>
      </c>
      <c r="G7" s="11" t="s">
        <v>4262</v>
      </c>
    </row>
    <row r="8" customFormat="false" ht="23.85" hidden="false" customHeight="false" outlineLevel="0" collapsed="false">
      <c r="A8" s="11" t="s">
        <v>579</v>
      </c>
      <c r="B8" s="16" t="n">
        <v>46334</v>
      </c>
      <c r="C8" s="11" t="s">
        <v>9</v>
      </c>
      <c r="D8" s="16" t="n">
        <v>46324</v>
      </c>
      <c r="E8" s="16" t="n">
        <v>46333</v>
      </c>
      <c r="F8" s="16" t="n">
        <v>46334</v>
      </c>
      <c r="G8" s="11" t="s">
        <v>4263</v>
      </c>
    </row>
    <row r="9" customFormat="false" ht="23.85" hidden="false" customHeight="false" outlineLevel="0" collapsed="false">
      <c r="A9" s="11" t="s">
        <v>612</v>
      </c>
      <c r="B9" s="16" t="n">
        <v>46336</v>
      </c>
      <c r="C9" s="11" t="s">
        <v>9</v>
      </c>
      <c r="D9" s="16" t="n">
        <v>46326</v>
      </c>
      <c r="E9" s="16" t="n">
        <v>46335</v>
      </c>
      <c r="F9" s="16" t="n">
        <v>46336</v>
      </c>
      <c r="G9" s="11" t="s">
        <v>4264</v>
      </c>
    </row>
    <row r="10" customFormat="false" ht="23.85" hidden="false" customHeight="false" outlineLevel="0" collapsed="false">
      <c r="A10" s="11" t="s">
        <v>701</v>
      </c>
      <c r="B10" s="16" t="n">
        <v>46341</v>
      </c>
      <c r="C10" s="11" t="s">
        <v>9</v>
      </c>
      <c r="D10" s="16" t="n">
        <v>46330</v>
      </c>
      <c r="E10" s="16" t="n">
        <v>46340</v>
      </c>
      <c r="F10" s="16" t="n">
        <v>46341</v>
      </c>
      <c r="G10" s="11" t="s">
        <v>4265</v>
      </c>
    </row>
    <row r="11" customFormat="false" ht="23.85" hidden="false" customHeight="false" outlineLevel="0" collapsed="false">
      <c r="A11" s="11" t="s">
        <v>827</v>
      </c>
      <c r="B11" s="16" t="n">
        <v>46346</v>
      </c>
      <c r="C11" s="11" t="s">
        <v>9</v>
      </c>
      <c r="D11" s="16" t="n">
        <v>46336</v>
      </c>
      <c r="E11" s="16" t="n">
        <v>46345</v>
      </c>
      <c r="F11" s="16" t="n">
        <v>46346</v>
      </c>
      <c r="G11" s="11" t="s">
        <v>4266</v>
      </c>
    </row>
    <row r="12" customFormat="false" ht="23.85" hidden="false" customHeight="false" outlineLevel="0" collapsed="false">
      <c r="A12" s="11" t="s">
        <v>914</v>
      </c>
      <c r="B12" s="16" t="n">
        <v>46350</v>
      </c>
      <c r="C12" s="11" t="s">
        <v>9</v>
      </c>
      <c r="D12" s="16" t="n">
        <v>46340</v>
      </c>
      <c r="E12" s="16" t="n">
        <v>46349</v>
      </c>
      <c r="F12" s="16" t="n">
        <v>46350</v>
      </c>
      <c r="G12" s="11" t="s">
        <v>4267</v>
      </c>
    </row>
    <row r="13" customFormat="false" ht="23.85" hidden="false" customHeight="false" outlineLevel="0" collapsed="false">
      <c r="A13" s="11" t="s">
        <v>957</v>
      </c>
      <c r="B13" s="16" t="n">
        <v>46352</v>
      </c>
      <c r="C13" s="11" t="s">
        <v>10</v>
      </c>
      <c r="D13" s="16" t="n">
        <v>46342</v>
      </c>
      <c r="E13" s="16" t="n">
        <v>46351</v>
      </c>
      <c r="F13" s="16" t="n">
        <v>46352</v>
      </c>
      <c r="G13" s="11" t="s">
        <v>4268</v>
      </c>
    </row>
    <row r="14" customFormat="false" ht="23.85" hidden="false" customHeight="false" outlineLevel="0" collapsed="false">
      <c r="A14" s="11" t="s">
        <v>1123</v>
      </c>
      <c r="B14" s="16" t="n">
        <v>46360</v>
      </c>
      <c r="C14" s="11" t="s">
        <v>12</v>
      </c>
      <c r="D14" s="16" t="n">
        <v>46350</v>
      </c>
      <c r="E14" s="16" t="n">
        <v>46359</v>
      </c>
      <c r="F14" s="16" t="n">
        <v>46360</v>
      </c>
      <c r="G14" s="11" t="s">
        <v>4269</v>
      </c>
    </row>
    <row r="15" customFormat="false" ht="23.85" hidden="false" customHeight="false" outlineLevel="0" collapsed="false">
      <c r="A15" s="11" t="s">
        <v>1568</v>
      </c>
      <c r="B15" s="16" t="n">
        <v>46381</v>
      </c>
      <c r="C15" s="11" t="s">
        <v>12</v>
      </c>
      <c r="D15" s="16" t="n">
        <v>46371</v>
      </c>
      <c r="E15" s="16" t="n">
        <v>46380</v>
      </c>
      <c r="F15" s="16" t="n">
        <v>46381</v>
      </c>
      <c r="G15" s="11" t="s">
        <v>4270</v>
      </c>
    </row>
    <row r="16" customFormat="false" ht="23.85" hidden="false" customHeight="false" outlineLevel="0" collapsed="false">
      <c r="A16" s="11" t="s">
        <v>1687</v>
      </c>
      <c r="B16" s="16" t="n">
        <v>46387</v>
      </c>
      <c r="C16" s="11" t="s">
        <v>12</v>
      </c>
      <c r="D16" s="16" t="n">
        <v>46377</v>
      </c>
      <c r="E16" s="16" t="n">
        <v>46386</v>
      </c>
      <c r="F16" s="16" t="n">
        <v>46387</v>
      </c>
      <c r="G16" s="11" t="s">
        <v>4271</v>
      </c>
    </row>
    <row r="17" customFormat="false" ht="23.85" hidden="false" customHeight="false" outlineLevel="0" collapsed="false">
      <c r="A17" s="11" t="s">
        <v>1964</v>
      </c>
      <c r="B17" s="16" t="n">
        <v>46400</v>
      </c>
      <c r="C17" s="11" t="s">
        <v>9</v>
      </c>
      <c r="D17" s="16" t="n">
        <v>46390</v>
      </c>
      <c r="E17" s="16" t="n">
        <v>46399</v>
      </c>
      <c r="F17" s="16" t="n">
        <v>46400</v>
      </c>
      <c r="G17" s="11" t="s">
        <v>4272</v>
      </c>
    </row>
    <row r="18" customFormat="false" ht="23.85" hidden="false" customHeight="false" outlineLevel="0" collapsed="false">
      <c r="A18" s="11" t="s">
        <v>1986</v>
      </c>
      <c r="B18" s="16" t="n">
        <v>46401</v>
      </c>
      <c r="C18" s="11" t="s">
        <v>9</v>
      </c>
      <c r="D18" s="16" t="n">
        <v>46391</v>
      </c>
      <c r="E18" s="16" t="n">
        <v>46400</v>
      </c>
      <c r="F18" s="16" t="n">
        <v>46401</v>
      </c>
      <c r="G18" s="11" t="s">
        <v>4273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2026-10-05T11:43:58Z</dcterms:created>
  <dc:creator>openpyxl</dc:creator>
  <dc:description/>
  <dc:language>en-US</dc:language>
  <cp:lastModifiedBy/>
  <dcterms:modified xsi:type="dcterms:W3CDTF">2026-10-05T11:43:58Z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